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10"/>
    </font>
  </fonts>
  <fills count="5">
    <fill>
      <patternFill/>
    </fill>
    <fill>
      <patternFill patternType="gray125"/>
    </fill>
    <fill>
      <patternFill patternType="solid">
        <fgColor rgb="001F4E79"/>
      </patternFill>
    </fill>
    <fill>
      <patternFill patternType="solid">
        <fgColor rgb="00EDF4FC"/>
      </patternFill>
    </fill>
    <fill>
      <patternFill patternType="solid">
        <fgColor rgb="00FFFFFF"/>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right" vertical="center"/>
    </xf>
    <xf numFmtId="0" fontId="2" fillId="3" borderId="0" applyAlignment="1" pivotButton="0" quotePrefix="0" xfId="0">
      <alignment horizontal="left" vertical="center"/>
    </xf>
    <xf numFmtId="49" fontId="2" fillId="3" borderId="0" applyAlignment="1" pivotButton="0" quotePrefix="0" xfId="0">
      <alignment horizontal="center" vertical="center"/>
    </xf>
    <xf numFmtId="0" fontId="2" fillId="4" borderId="0" applyAlignment="1" pivotButton="0" quotePrefix="0" xfId="0">
      <alignment horizontal="right" vertical="center"/>
    </xf>
    <xf numFmtId="0" fontId="2" fillId="4" borderId="0" applyAlignment="1" pivotButton="0" quotePrefix="0" xfId="0">
      <alignment horizontal="left" vertical="center"/>
    </xf>
    <xf numFmtId="49" fontId="2" fillId="4"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3"/>
  <sheetViews>
    <sheetView workbookViewId="0">
      <pane ySplit="1" topLeftCell="A2" activePane="bottomLeft" state="frozen"/>
      <selection pane="bottomLeft" activeCell="A1" sqref="A1"/>
    </sheetView>
  </sheetViews>
  <sheetFormatPr baseColWidth="8" defaultRowHeight="15"/>
  <cols>
    <col width="38" customWidth="1" min="1" max="1"/>
    <col width="32" customWidth="1" min="2" max="2"/>
    <col width="42" customWidth="1" min="3" max="3"/>
    <col width="68" customWidth="1" min="4" max="4"/>
    <col width="25" customWidth="1" min="5" max="5"/>
  </cols>
  <sheetData>
    <row r="1" ht="22" customHeight="1">
      <c r="A1" s="1" t="inlineStr">
        <is>
          <t>sender_id</t>
        </is>
      </c>
      <c r="B1" s="1" t="inlineStr">
        <is>
          <t>sender_email</t>
        </is>
      </c>
      <c r="C1" s="1" t="inlineStr">
        <is>
          <t>title</t>
        </is>
      </c>
      <c r="D1" s="1" t="inlineStr">
        <is>
          <t>body</t>
        </is>
      </c>
      <c r="E1" s="1" t="inlineStr">
        <is>
          <t>phones</t>
        </is>
      </c>
    </row>
    <row r="2" ht="18" customHeight="1">
      <c r="A2" s="2" t="inlineStr">
        <is>
          <t>al_hayooof@hotmail.com</t>
        </is>
      </c>
      <c r="B2" s="3" t="inlineStr">
        <is>
          <t>al_hayooof@hotmail.com</t>
        </is>
      </c>
      <c r="C2" s="2" t="inlineStr"/>
      <c r="D2" s="2" t="inlineStr">
        <is>
          <t>&lt;meta http-equiv="Content-Type" content="text/html; charset=utf-8"&gt;&lt;div dir="auto"&gt;السلام عليكم&lt;div dir="auto"&gt;يعطيكم العافيه،،،&amp;nbsp;&lt;/div&gt;&lt;div dir="auto"&gt;&lt;br&gt;&lt;/div&gt;&lt;div dir="auto"&gt;عفوا منو معطيكم الحق تحطون رقم تلفوني بالبرنامج؟؟&amp;nbsp;&lt;/div&gt;&lt;div dir="auto"&gt;وعلى أي أساس؟؟&lt;/div&gt;&lt;div dir="auto"&gt;&lt;br&gt;&lt;/div&gt;&lt;div dir="auto"&gt;هل انتوا تتعاملون مع شركات الاتصالات بنشر اسماء وأرقام الناس بدون إذن مسبقة من صاحب العلاقه؟؟&lt;/div&gt;&lt;/div&gt;</t>
        </is>
      </c>
      <c r="E2" s="4" t="inlineStr"/>
    </row>
    <row r="3" ht="18" customHeight="1">
      <c r="A3" s="5" t="inlineStr">
        <is>
          <t>Jawad Alkazmi &lt;jjalkazmi@gmail.com&gt;</t>
        </is>
      </c>
      <c r="B3" s="6" t="inlineStr">
        <is>
          <t>jjalkazmi@gmail.com</t>
        </is>
      </c>
      <c r="C3" s="5">
        <f>?UTF-8?B?2LPZhNin2YUg2LnZhNmK2YPZhSDYudmF2YTYqiDYrtiv2YXYqSDYqNmE2YjZgyDZiNiv?= 	=?UTF-8?B?2YHYudiqINmmINiv2YbYp9mG2YrYsSDZhNin2YHYp9is2KYg2KfZhiDYtdin2K3YqNmKINio2KzYqNmG?= 	=?UTF-8?B?2KjZiiDZitmD2LTZgSDYsdmC2YXZiiAuLi4uLi7Yn9if2J/YnyDZhdin2YTYudmF2YQ=?=</f>
        <v/>
      </c>
      <c r="D3" s="5" t="inlineStr">
        <is>
          <t> </t>
        </is>
      </c>
      <c r="E3" s="7" t="inlineStr"/>
    </row>
    <row r="4" ht="18" customHeight="1">
      <c r="A4" s="2" t="inlineStr">
        <is>
          <t>al_hayooof@hotmail.com</t>
        </is>
      </c>
      <c r="B4" s="3" t="inlineStr">
        <is>
          <t>al_hayooof@hotmail.com</t>
        </is>
      </c>
      <c r="C4" s="2" t="inlineStr"/>
      <c r="D4" s="2" t="inlineStr">
        <is>
          <t>&lt;meta http-equiv="Content-Type" content="text/html; charset=utf-8"&gt;&lt;div dir="auto"&gt;السلام عليكم&lt;div dir="auto"&gt;يعطيكم العافيه،،،&amp;nbsp;&lt;/div&gt;&lt;div dir="auto"&gt;&lt;br&gt;&lt;/div&gt;&lt;div dir="auto"&gt;عفوا منو معطيكم الحق تحطون رقم تلفوني بالبرنامج؟؟&amp;nbsp;&lt;/div&gt;&lt;div dir="auto"&gt;وعلى أي أساس؟؟&lt;/div&gt;&lt;div dir="auto"&gt;&lt;br&gt;&lt;/div&gt;&lt;div dir="auto"&gt;هل انتوا تتعاملون مع شركات الاتصالات بنشر اسماء وأرقام الناس بدون إذن مسبقة من صاحب العلاقه؟؟&lt;/div&gt;&lt;/div&gt;</t>
        </is>
      </c>
      <c r="E4" s="4" t="inlineStr"/>
    </row>
    <row r="5" ht="18" customHeight="1">
      <c r="A5" s="5" t="inlineStr">
        <is>
          <t>E &lt;ttotanaa@gmail.com&gt;</t>
        </is>
      </c>
      <c r="B5" s="6" t="inlineStr">
        <is>
          <t>ttotanaa@gmail.com</t>
        </is>
      </c>
      <c r="C5" s="5" t="inlineStr"/>
      <c r="D5" s="5" t="inlineStr">
        <is>
          <t xml:space="preserve">اشتركت بالابلكيشن لحذف رقمي وألقاه ببحث قوقل الاسم والرقم كامل وحاطين ابلكيشن منو داق؟؟ مافي خصوصية اذا ما لقيت بالابلكيشن القاه بقوقل لو سمحتو احذفو </t>
        </is>
      </c>
      <c r="E5" s="7" t="inlineStr"/>
    </row>
    <row r="6" ht="18" customHeight="1">
      <c r="A6" s="2" t="inlineStr">
        <is>
          <t>alasas@gmx.com</t>
        </is>
      </c>
      <c r="B6" s="3" t="inlineStr">
        <is>
          <t>alasas@gmx.com</t>
        </is>
      </c>
      <c r="C6" s="2">
        <f>?utf-8?B?2YTZhdin2LDYpyDYqtmFINin2YTYutin2KEg2KrZgdi52YrZhCA=?=  =?utf-8?B?2KfYrtmB2KfYoSDYp9mE2LHZgtmF?=</f>
        <v/>
      </c>
      <c r="D6" s="2" t="inlineStr">
        <is>
          <t>Hello! How can we help you?     انا اشتركت في خدمة اخفاء الرقم في تاريخ 27/4/2025 لمدة سنة فلماذا يتم الغاء االخدمة؟ هذا مخالف للشروط اللي بينا والمصداقية  غير صحيحة  فالرجاء ارجاع الخدمة   ‫أُرسلت من الـ iPhone‬</t>
        </is>
      </c>
      <c r="E6" s="4" t="inlineStr"/>
    </row>
    <row r="7" ht="18" customHeight="1">
      <c r="A7" s="5">
        <f>?utf-8?B?2LPZhNi32KfZhiDZgdin2YTYrSDYp9mE2LnYtdmK2YXZig==?= 	&lt;fsl-2075@hotmail.com&gt;</f>
        <v/>
      </c>
      <c r="B7" s="6" t="inlineStr">
        <is>
          <t>fsl-2075@hotmail.com</t>
        </is>
      </c>
      <c r="C7" s="5">
        <f>?utf-8?B?2LHZgdi5INi02YPZiNinINio2K3ZgiDYqNix2YbYp9mF2Kwg2YXZhtmIINiv?=  =?utf-8?B?2KfZgiAg?=</f>
        <v/>
      </c>
      <c r="D7" s="5" t="inlineStr">
        <is>
          <t xml:space="preserve">﻿  السلام عليكم اخوي انا عندي رقمين دافعلهم وحاضرهم من برنامج منو داق واللحين موجوده  انا مابي اقدم شكواء لهيئة الاتصالات ابحل الموضوع والا اخذت الاجرات القانونيه بحقكم.  ‬ </t>
        </is>
      </c>
      <c r="E7" s="7" t="inlineStr"/>
    </row>
    <row r="8" ht="18" customHeight="1">
      <c r="A8" s="2" t="inlineStr">
        <is>
          <t>p2p20006@gmail.com</t>
        </is>
      </c>
      <c r="B8" s="3" t="inlineStr">
        <is>
          <t>p2p20006@gmail.com</t>
        </is>
      </c>
      <c r="C8" s="2">
        <f>?utf-8?B?2LfZhNioINit2LDZgSDYsdmC2YU=?=</f>
        <v/>
      </c>
      <c r="D8" s="2" t="inlineStr">
        <is>
          <t>السلام عليكم رقمي مسجل باسم ام فهد  عند البحث  لانه كان لشخص سابق  اريد ان يحذف   حتى ايتطيع ان احفظه باسمي  ‫أُرسلت من الـ iPhone‬</t>
        </is>
      </c>
      <c r="E8" s="4" t="inlineStr"/>
    </row>
    <row r="9" ht="18" customHeight="1">
      <c r="A9" s="5" t="inlineStr">
        <is>
          <t>Rahaf Alazmi &lt;rahaf26alazmi@icloud.com&gt;</t>
        </is>
      </c>
      <c r="B9" s="6" t="inlineStr">
        <is>
          <t>rahaf26alazmi@icloud.com</t>
        </is>
      </c>
      <c r="C9" s="5">
        <f>?utf-8?B?2LHZgtmFINmF2KrYt9mB2YQg?=</f>
        <v/>
      </c>
      <c r="D9" s="5" t="inlineStr">
        <is>
          <t xml:space="preserve"> Report متطفلين حسب بلاغات من بلدك KW :     </t>
        </is>
      </c>
      <c r="E9" s="7" t="inlineStr"/>
    </row>
    <row r="10" ht="18" customHeight="1">
      <c r="A10" s="2" t="inlineStr">
        <is>
          <t>Sarah Alturki &lt;mariam_moon@icloud.com&gt;</t>
        </is>
      </c>
      <c r="B10" s="3" t="inlineStr">
        <is>
          <t>mariam_moon@icloud.com</t>
        </is>
      </c>
      <c r="C10" s="2" t="inlineStr"/>
      <c r="D10" s="2" t="inlineStr">
        <is>
          <t>Hello! How can we help you?  Report متطفلين حسب بلاغات من بلدك KW :   Sent from my iPhone</t>
        </is>
      </c>
      <c r="E10" s="4" t="inlineStr"/>
    </row>
    <row r="11" ht="18" customHeight="1">
      <c r="A11" s="5" t="inlineStr">
        <is>
          <t>Meme Koko &lt;zozoana1987@gmail.com&gt;</t>
        </is>
      </c>
      <c r="B11" s="6" t="inlineStr">
        <is>
          <t>zozoana1987@gmail.com</t>
        </is>
      </c>
      <c r="C11" s="5" t="inlineStr"/>
      <c r="D11" s="5" t="inlineStr">
        <is>
          <t xml:space="preserve">ابي اسوي بلوك حق رقمي شلون </t>
        </is>
      </c>
      <c r="E11" s="7" t="inlineStr"/>
    </row>
    <row r="12" ht="18" customHeight="1">
      <c r="A12" s="2">
        <f>?UTF-8?B?2KfZhSDYs9mK2YEg2LXZiCDZgdmK?= &lt;amsyfswfy5@gmail.com&gt;</f>
        <v/>
      </c>
      <c r="B12" s="3" t="inlineStr">
        <is>
          <t>amsyfswfy5@gmail.com</t>
        </is>
      </c>
      <c r="C12" s="2" t="inlineStr"/>
      <c r="D12" s="2" t="inlineStr">
        <is>
          <t> </t>
        </is>
      </c>
      <c r="E12" s="4" t="inlineStr"/>
    </row>
    <row r="13" ht="18" customHeight="1">
      <c r="A13" s="5">
        <f>?UTF-8?B?2KfZhSDYs9mK2YEg2LXZiCDZgdmK?= &lt;amsyfswfy5@gmail.com&gt;</f>
        <v/>
      </c>
      <c r="B13" s="6" t="inlineStr">
        <is>
          <t>amsyfswfy5@gmail.com</t>
        </is>
      </c>
      <c r="C13" s="5" t="inlineStr"/>
      <c r="D13" s="5" t="inlineStr">
        <is>
          <t> </t>
        </is>
      </c>
      <c r="E13" s="7" t="inlineStr"/>
    </row>
    <row r="14" ht="18" customHeight="1">
      <c r="A14" s="2" t="inlineStr">
        <is>
          <t>Raghad Alajmi &lt;rosealsh3lan@gmail.com&gt;</t>
        </is>
      </c>
      <c r="B14" s="3" t="inlineStr">
        <is>
          <t>rosealsh3lan@gmail.com</t>
        </is>
      </c>
      <c r="C14" s="2">
        <f>?utf-8?B?UmU6INmH2YbYp9mDINin2LPZhdin2KEg2YTYpyDYqtiu2LXZhtmK?=  =?utf-8?B?INmF2LPYrNmE2Ycg2LnZhNmJINmH2LDYpyDYp9mE2LHZgtmFINmI?=  =?utf-8?B?2YPYsNmE2YMg2LnZhtmI2KfZhiDYp9mE2LPZg9mGINmF2LPYrNmE?=  =?utf-8?B?INmI2YfYsNinINin2YbYqtmH2KfZgyDZhNmE2K7YtdmI2LXZitmH?=  =?utf-8?B?INin2LHYrNmIINmF2LPYrSDYp9mE2KjZitin2YbYp9iqINin2YQ=?=  =?utf-8?B?2YLYr9mK2YXZhyDYp9it2KrYsdin2YXYpyDZhNiu2LXZiNi12Yo=?=  =?utf-8?B?2KrZiiDZiCDZhNin2YbZhyDYqNi52LYg2KfZhNin2LTYrtin2LUg?=  =?utf-8?B?2YrYqtmI2KfYtdmE2YjZhiDZhdi52Yog2YrYuNmG2YjZhiDYp9mG?=  =?utf-8?B?2Yog2LXYp9it2KjYqSDYp9mE2K7YtyDYp9mE2YLYr9mK2YUg?=</f>
        <v/>
      </c>
      <c r="D14" s="2" t="inlineStr">
        <is>
          <t xml:space="preserve"> ‫أُرسلت من الـ iPhone‬  &gt; ‫في 28‏/10‏/2025 الساعة 9:14 م، كتب/كتبت ‏Raghad Alajmi ‏&lt;rosealsh3lan@gmail.com&gt;:‬ &gt;  &gt; ﻿ &gt; Hello! How can we help you? &gt;  &gt; Report متطفلين حسب بلاغات من بلدك KW : &gt;  &gt;  &gt; ‫أُرسلت من الـ iPhone‬ </t>
        </is>
      </c>
      <c r="E14" s="4" t="inlineStr"/>
    </row>
    <row r="15" ht="18" customHeight="1">
      <c r="A15" s="5" t="inlineStr">
        <is>
          <t>Mon Osh &lt;mno0shii.sh98@gmail.com&gt;</t>
        </is>
      </c>
      <c r="B15" s="6" t="inlineStr">
        <is>
          <t>mno0shii.sh98@gmail.com</t>
        </is>
      </c>
      <c r="C15" s="5" t="inlineStr"/>
      <c r="D15" s="5" t="inlineStr">
        <is>
          <t>Hello! How can we help you?  Report متطفلين حسب بلاغات من بلدك KW :   ‫أُرسلت من الـ iPhone‬</t>
        </is>
      </c>
      <c r="E15" s="7" t="inlineStr"/>
    </row>
    <row r="16" ht="18" customHeight="1">
      <c r="A16" s="2" t="inlineStr">
        <is>
          <t>Abdallah &lt;abood-nhas@hotmail.com&gt;</t>
        </is>
      </c>
      <c r="B16" s="3" t="inlineStr">
        <is>
          <t>abood-nhas@hotmail.com</t>
        </is>
      </c>
      <c r="C16" s="2" t="inlineStr"/>
      <c r="D16" s="2" t="inlineStr">
        <is>
          <t>&lt;meta http-equiv="Content-Type" content="text/html; charset=utf-8"&gt;&lt;div dir="auto"&gt;&lt;/div&gt;</t>
        </is>
      </c>
      <c r="E16" s="4" t="inlineStr"/>
    </row>
    <row r="17" ht="18" customHeight="1">
      <c r="A17" s="5" t="inlineStr">
        <is>
          <t>e almatrouk &lt;e.almatrouk2@hotmail.com&gt;</t>
        </is>
      </c>
      <c r="B17" s="6" t="inlineStr">
        <is>
          <t>e.almatrouk2@hotmail.com</t>
        </is>
      </c>
      <c r="C17" s="5">
        <f>?utf-8?B?2KfZhNiz2YTYp9mFINi52YTZitmD2YUg2YPZitmBINin2LnZhdmEINit2Lg=?=  =?utf-8?B?2LEg2LnZhNmJINix2YLZhdmK?=</f>
        <v/>
      </c>
      <c r="D17" s="5" t="inlineStr">
        <is>
          <t xml:space="preserve">السلام عليكم كيف اعمل حظر على رقمي </t>
        </is>
      </c>
      <c r="E17" s="7" t="inlineStr"/>
    </row>
    <row r="18" ht="18" customHeight="1">
      <c r="A18" s="2" t="inlineStr">
        <is>
          <t>e almatrouk &lt;e.almatrouk2@hotmail.com&gt;</t>
        </is>
      </c>
      <c r="B18" s="3" t="inlineStr">
        <is>
          <t>e.almatrouk2@hotmail.com</t>
        </is>
      </c>
      <c r="C18" s="2" t="inlineStr"/>
      <c r="D18" s="2" t="inlineStr">
        <is>
          <t xml:space="preserve">Hello! How can we help you?  Sent from my iPhone </t>
        </is>
      </c>
      <c r="E18" s="4" t="inlineStr"/>
    </row>
    <row r="19" ht="18" customHeight="1">
      <c r="A19" s="5" t="inlineStr">
        <is>
          <t>2Checkout Team &lt;marketing@2checkout.com&gt;</t>
        </is>
      </c>
      <c r="B19" s="6" t="inlineStr">
        <is>
          <t>marketing@2checkout.com</t>
        </is>
      </c>
      <c r="C19" s="5" t="inlineStr">
        <is>
          <t>Your Commerce Matters Newsletter is Here - October Edition</t>
        </is>
      </c>
      <c r="D19" s="5">
        <f>===========================================================   Best Practices &amp; Industry Trends for Digital Commerce Professionals!     ============================================================   Commerce Matters Newsletter - For eCommerce and Channel Executives   ============================================================      Hello [NAME],         Spooky season is here, and so is the countdown to some of the biggest eCommerce events of the year—Black Friday and Cyber Monday. Whether you're preparing last-minute promotions or refining your checkout experience, the next few weeks are critical for capturing holiday revenue and setting your online business up for success.      In this mont ...</f>
        <v/>
      </c>
      <c r="E19" s="7" t="inlineStr"/>
    </row>
    <row r="20" ht="18" customHeight="1">
      <c r="A20" s="2" t="inlineStr">
        <is>
          <t>farhan alenezi &lt;far777an@hotmail.com&gt;</t>
        </is>
      </c>
      <c r="B20" s="3" t="inlineStr">
        <is>
          <t>far777an@hotmail.com</t>
        </is>
      </c>
      <c r="C20" s="2">
        <f>?utf-8?B?2YXZhdmD2YYg2YXYs9in2LnYr9mHIA==?=</f>
        <v/>
      </c>
      <c r="D20" s="2" t="inlineStr">
        <is>
          <t xml:space="preserve">شلون امسح رقمي من منو داق ‫أُرسلت من الـ iPhone‬ </t>
        </is>
      </c>
      <c r="E20" s="4" t="inlineStr"/>
    </row>
    <row r="21" ht="18" customHeight="1">
      <c r="A21" s="5" t="inlineStr">
        <is>
          <t>deadchucky &lt;papermario0091@gmail.com&gt;</t>
        </is>
      </c>
      <c r="B21" s="6" t="inlineStr">
        <is>
          <t>papermario0091@gmail.com</t>
        </is>
      </c>
      <c r="C21" s="5">
        <f>?UTF-8?B?2KfZhNio2YTZiNmD?=</f>
        <v/>
      </c>
      <c r="D21" s="5" t="inlineStr">
        <is>
          <t xml:space="preserve">شلون البلوك ادفع لكم ومدة سنه وباقي اشهر وينتهي بعرف ليش ينتهي الحين </t>
        </is>
      </c>
      <c r="E21" s="7" t="inlineStr"/>
    </row>
    <row r="22" ht="18" customHeight="1">
      <c r="A22" s="2" t="inlineStr">
        <is>
          <t>Maan AlBanwan &lt;oorroonnaa@gmail.com&gt;</t>
        </is>
      </c>
      <c r="B22" s="3" t="inlineStr">
        <is>
          <t>oorroonnaa@gmail.com</t>
        </is>
      </c>
      <c r="C22" s="2">
        <f>?UTF-8?B?2LfZhNioINit2LDZgSDYsdmC2YU=?=</f>
        <v/>
      </c>
      <c r="D22" s="2" t="inlineStr">
        <is>
          <t xml:space="preserve"> مرحباكيف اقدر امسح اسم غير لائق مثبت على رقمي من التطبيق؟مع الشكر.</t>
        </is>
      </c>
      <c r="E22" s="4" t="inlineStr"/>
    </row>
    <row r="23" ht="18" customHeight="1">
      <c r="A23" s="5" t="inlineStr">
        <is>
          <t>Abu Mhmd &lt;zadabomhmd@gmail.com&gt;</t>
        </is>
      </c>
      <c r="B23" s="6" t="inlineStr">
        <is>
          <t>zadabomhmd@gmail.com</t>
        </is>
      </c>
      <c r="C23" s="5">
        <f>?utf-8?B?2KPZhtinINmF2KzYr9ivINiu2K/ZhdipINin2YTYqNmE2YjZgyA=?=  =?utf-8?B?2KjYtNmH2LEgNCDZiNij2YTYrdmK2YYg2YXYsdiz2YTZitmGINmE?=  =?utf-8?B?2Yog2KjYo9mG2KrZh9in2KEg2KfZhNij2LTYqtix2KfZgyDZhdi5?=  =?utf-8?B?INin2YTYudmE2YUg2K7Yr9mF2Kkg2KfZhNio2YTZiNmDINiz2YY=?=  =?utf-8?B?2Kk=?=</f>
        <v/>
      </c>
      <c r="D23" s="5" t="inlineStr">
        <is>
          <t xml:space="preserve">  ‫أُرسلت من الـ iPhone‬</t>
        </is>
      </c>
      <c r="E23" s="7" t="inlineStr"/>
    </row>
    <row r="24" ht="18" customHeight="1">
      <c r="A24" s="2" t="inlineStr">
        <is>
          <t>Feras Sami &lt;feras_20133@hotmail.com&gt;</t>
        </is>
      </c>
      <c r="B24" s="3" t="inlineStr">
        <is>
          <t>feras_20133@hotmail.com</t>
        </is>
      </c>
      <c r="C24" s="2">
        <f>?iso-8859-6?B?x9PHwecgyMfkx9PlIA==?=</f>
        <v/>
      </c>
      <c r="D24" s="2" t="inlineStr">
        <is>
          <t xml:space="preserve">����� ���� ���  ����� ����� ������� ��� ��� ��� ��� ���� ���� ���� ����� ������ ������� �� ���� ������� ��� ��� ����� ������� ��� ������� ��������� �������� ������ ����� ���� ���� ������ ������� ��� ���� ����� ������ ���� ��� ����� ���� ������� ������  ���� ��� Outlook �� iOS&lt;https://aka.ms/o0ukef&gt; </t>
        </is>
      </c>
      <c r="E24" s="4" t="inlineStr"/>
    </row>
    <row r="25" ht="18" customHeight="1">
      <c r="A25" s="5" t="inlineStr">
        <is>
          <t>F N &lt;fnawaf15@gmail.com&gt;</t>
        </is>
      </c>
      <c r="B25" s="6" t="inlineStr">
        <is>
          <t>fnawaf15@gmail.com</t>
        </is>
      </c>
      <c r="C25" s="5">
        <f>?UTF-8?B?2LfZhNioINit2LDZgSDYp9mE2LHZgtmF?=</f>
        <v/>
      </c>
      <c r="D25" s="5" t="inlineStr">
        <is>
          <t xml:space="preserve">مسح كل الاسماء المسجلة على رقمي وحفظ الاسم الصحيح وهو: فلاح نواف الميموني وشكرا </t>
        </is>
      </c>
      <c r="E25" s="7" t="inlineStr"/>
    </row>
    <row r="26" ht="18" customHeight="1">
      <c r="A26" s="2" t="inlineStr">
        <is>
          <t>Raghad Alajmi &lt;rosealsh3lan@gmail.com&gt;</t>
        </is>
      </c>
      <c r="B26" s="3" t="inlineStr">
        <is>
          <t>rosealsh3lan@gmail.com</t>
        </is>
      </c>
      <c r="C26" s="2">
        <f>?utf-8?B?2YfZhtin2YMg2KfYs9mF2KfYoSDZhNinINiq2K7YtdmG2Yog2YU=?=  =?utf-8?B?2LPYrNmE2Ycg2LnZhNmJINmH2LDYpyDYp9mE2LHZgtmFINmI2YM=?=  =?utf-8?B?2LDZhNmDINi52YbZiNin2YYg2KfZhNiz2YPZhiDZhdiz2KzZhCA=?=  =?utf-8?B?2YjZh9iw2Kcg2KfZhtiq2YfYp9mDINmE2YTYrti12YjYtdmK2Ycg?=  =?utf-8?B?2KfYsdis2Ygg2YXYs9itINin2YTYqNmK2KfZhtin2Kog2KfZhNmC?=  =?utf-8?B?2K/ZitmF2Ycg2KfYrdiq2LHYp9mF2Kcg2YTYrti12YjYtdmK2Ko=?=  =?utf-8?B?2Yog2Ygg2YTYp9mG2Ycg2KjYudi2INin2YTYp9i02K7Yp9i1INmK?=  =?utf-8?B?2KrZiNin2LXZhNmI2YYg2YXYudmKINmK2LjZhtmI2YYg2KfZhtmK?=  =?utf-8?B?INi12KfYrdio2Kkg2KfZhNiu2Lcg2KfZhNmC2K/ZitmFIA==?=</f>
        <v/>
      </c>
      <c r="D26" s="2" t="inlineStr">
        <is>
          <t>Hello! How can we help you?  Report متطفلين حسب بلاغات من بلدك KW :   ‫أُرسلت من الـ iPhone‬</t>
        </is>
      </c>
      <c r="E26" s="4" t="inlineStr"/>
    </row>
    <row r="27" ht="18" customHeight="1">
      <c r="A27" s="5" t="inlineStr">
        <is>
          <t>alwagd alwagd &lt;alwagd@live.com&gt;</t>
        </is>
      </c>
      <c r="B27" s="6" t="inlineStr">
        <is>
          <t>alwagd@live.com</t>
        </is>
      </c>
      <c r="C27" s="5">
        <f>?utf-8?B?2LfZhNioINit2LDZgSDYsdmC2YU=?=</f>
        <v/>
      </c>
      <c r="D27" s="5" t="inlineStr">
        <is>
          <t xml:space="preserve">واحد مسمي رقمي khalaf bottom لوسمحتو احذو اسم ‫أُرسلت من الـ iPhone‬ </t>
        </is>
      </c>
      <c r="E27" s="7" t="inlineStr"/>
    </row>
    <row r="28" ht="18" customHeight="1">
      <c r="A28" s="2" t="inlineStr">
        <is>
          <t>Sara Aladwani &lt;ombaderali@icloud.com&gt;</t>
        </is>
      </c>
      <c r="B28" s="3" t="inlineStr">
        <is>
          <t>ombaderali@icloud.com</t>
        </is>
      </c>
      <c r="C28" s="2" t="inlineStr"/>
      <c r="D28" s="2" t="inlineStr">
        <is>
          <t>Hello! How can we help you?  Report متطفلين حسب بلاغات من بلدك KW :   ‫أُرسلت من الـ iPhone‬</t>
        </is>
      </c>
      <c r="E28" s="4" t="inlineStr"/>
    </row>
    <row r="29" ht="18" customHeight="1">
      <c r="A29" s="5" t="inlineStr">
        <is>
          <t>Ahmad &lt;dandany22@yahoo.com&gt;</t>
        </is>
      </c>
      <c r="B29" s="6" t="inlineStr">
        <is>
          <t>dandany22@yahoo.com</t>
        </is>
      </c>
      <c r="C29" s="5" t="inlineStr">
        <is>
          <t xml:space="preserve">Hello </t>
        </is>
      </c>
      <c r="D29" s="5" t="inlineStr">
        <is>
          <t>Hello! How can we help you?  How can I add my display name ? Sent from my iPhone</t>
        </is>
      </c>
      <c r="E29" s="7" t="inlineStr"/>
    </row>
    <row r="30" ht="18" customHeight="1">
      <c r="A30" s="2" t="inlineStr">
        <is>
          <t>Haya aldasan &lt;hayaldasan@gmail.com&gt;</t>
        </is>
      </c>
      <c r="B30" s="3" t="inlineStr">
        <is>
          <t>hayaldasan@gmail.com</t>
        </is>
      </c>
      <c r="C30" s="2">
        <f>?utf-8?B?2LfZhNioINit2LDZgSDYsdmC2YU=?=</f>
        <v/>
      </c>
      <c r="D30" s="2" t="inlineStr">
        <is>
          <t xml:space="preserve"> Sent from my iPhone</t>
        </is>
      </c>
      <c r="E30" s="4" t="inlineStr"/>
    </row>
    <row r="31" ht="18" customHeight="1">
      <c r="A31" s="5" t="inlineStr">
        <is>
          <t>Wadha Almutairi &lt;wkalmutairi@gmail.com&gt;</t>
        </is>
      </c>
      <c r="B31" s="6" t="inlineStr">
        <is>
          <t>wkalmutairi@gmail.com</t>
        </is>
      </c>
      <c r="C31" s="5">
        <f>?UTF-8?B?UmU6INmF2LHYqtmK2YYg2K/Yp9mB2LnZhw==?=</f>
        <v/>
      </c>
      <c r="D31" s="5" t="inlineStr">
        <is>
          <t xml:space="preserve">السلام عليكم لحد الحين ماتم حجب رقمي؟؟    On Fri, 3 Oct 2025 at 8:14 PM Wadha Almutairi &lt;wkalmutairi@gmail.com&gt; wrote:  &gt; السلام عليكم &gt; &gt; شهر 3 مجدده ودزيتوا اليوم اشتراكك انتهى شلون؟ &gt; &gt; &gt; [image: image0.png] &gt; </t>
        </is>
      </c>
      <c r="E31" s="7" t="inlineStr"/>
    </row>
    <row r="32" ht="18" customHeight="1">
      <c r="A32" s="2" t="inlineStr">
        <is>
          <t>Pretty L &lt;tatofa@hotmail.com&gt;</t>
        </is>
      </c>
      <c r="B32" s="3" t="inlineStr">
        <is>
          <t>tatofa@hotmail.com</t>
        </is>
      </c>
      <c r="C32" s="2">
        <f>?utf-8?B?2LTZhNmI2YYg2KfZgtiv2LEg2KfYrtmB2Yog2LHZgtmF2Yo=?=</f>
        <v/>
      </c>
      <c r="D32" s="2" t="inlineStr">
        <is>
          <t xml:space="preserve">Hello! How can we help you?  Sent from my iPhone </t>
        </is>
      </c>
      <c r="E32" s="4" t="inlineStr"/>
    </row>
    <row r="33" ht="18" customHeight="1">
      <c r="A33" s="5" t="inlineStr">
        <is>
          <t>Fofo Shosho &lt;fofo.kwt@icloud.com&gt;</t>
        </is>
      </c>
      <c r="B33" s="6" t="inlineStr">
        <is>
          <t>fofo.kwt@icloud.com</t>
        </is>
      </c>
      <c r="C33" s="5">
        <f>?utf-8?B?2YXYsti52KzZitmGIA==?=</f>
        <v/>
      </c>
      <c r="D33" s="5" t="inlineStr">
        <is>
          <t>Hello! How can we help you?  Report متطفلين حسب بلاغات من بلدك KW :    ‫أُرسلت من الـ iPhone‬</t>
        </is>
      </c>
      <c r="E33" s="7" t="inlineStr"/>
    </row>
    <row r="34" ht="18" customHeight="1">
      <c r="A34" s="2" t="inlineStr">
        <is>
          <t>TTl &lt;n46498283@gmail.com&gt;</t>
        </is>
      </c>
      <c r="B34" s="3" t="inlineStr">
        <is>
          <t>n46498283@gmail.com</t>
        </is>
      </c>
      <c r="C34" s="2" t="inlineStr"/>
      <c r="D34" s="2" t="inlineStr">
        <is>
          <t> </t>
        </is>
      </c>
      <c r="E34" s="4" t="inlineStr"/>
    </row>
    <row r="35" ht="18" customHeight="1">
      <c r="A35" s="5" t="inlineStr">
        <is>
          <t>omsalo7@icloud.com</t>
        </is>
      </c>
      <c r="B35" s="6" t="inlineStr">
        <is>
          <t>omsalo7@icloud.com</t>
        </is>
      </c>
      <c r="C35" s="5" t="inlineStr"/>
      <c r="D35" s="5" t="inlineStr">
        <is>
          <t>Hello! How can we help you?   ‫أُرسلت من الـ iPhone‬</t>
        </is>
      </c>
      <c r="E35" s="7" t="inlineStr"/>
    </row>
    <row r="36" ht="18" customHeight="1">
      <c r="A36" s="2">
        <f>?utf-8?B?2K7Yp9mE2K8g2KfZhNmF2LfZitix2Yo=?= &lt;k99689520@gmail.com&gt;</f>
        <v/>
      </c>
      <c r="B36" s="3" t="inlineStr">
        <is>
          <t>k99689520@gmail.com</t>
        </is>
      </c>
      <c r="C36" s="2" t="inlineStr"/>
      <c r="D36" s="2" t="inlineStr">
        <is>
          <t>Hello! How can we help you?  Report متطفلين حسب بلاغات من بلدك KW :   ‫أُرسلت من الـ iPhone‬</t>
        </is>
      </c>
      <c r="E36" s="4" t="inlineStr"/>
    </row>
    <row r="37" ht="18" customHeight="1">
      <c r="A37" s="5">
        <f>?utf-8?B?2K7Yp9mE2K8g2KfZhNmF2LfZitix2Yo=?= &lt;k99689520@gmail.com&gt;</f>
        <v/>
      </c>
      <c r="B37" s="6" t="inlineStr">
        <is>
          <t>k99689520@gmail.com</t>
        </is>
      </c>
      <c r="C37" s="5" t="inlineStr"/>
      <c r="D37" s="5" t="inlineStr">
        <is>
          <t>Hello! How can we help you?  Report متطفلين حسب بلاغات من بلدك KW :   ‫أُرسلت من الـ iPhone‬</t>
        </is>
      </c>
      <c r="E37" s="7" t="inlineStr"/>
    </row>
    <row r="38" ht="18" customHeight="1">
      <c r="A38" s="2" t="inlineStr">
        <is>
          <t>moshkan taqi &lt;moshkantaqi@gmail.com&gt;</t>
        </is>
      </c>
      <c r="B38" s="3" t="inlineStr">
        <is>
          <t>moshkantaqi@gmail.com</t>
        </is>
      </c>
      <c r="C38" s="2">
        <f>?utf-8?B?2LfZhNioINit2LDZgSDYp9iz2YU=?=</f>
        <v/>
      </c>
      <c r="D38" s="2" t="inlineStr">
        <is>
          <t>Please contact me regarding my name Regards,  Moshkan Taqi</t>
        </is>
      </c>
      <c r="E38" s="4" t="inlineStr"/>
    </row>
    <row r="39" ht="18" customHeight="1">
      <c r="A39" s="5" t="inlineStr">
        <is>
          <t>moshkan taqi &lt;moshkantaqi@gmail.com&gt;</t>
        </is>
      </c>
      <c r="B39" s="6" t="inlineStr">
        <is>
          <t>moshkantaqi@gmail.com</t>
        </is>
      </c>
      <c r="C39" s="5">
        <f>?utf-8?B?2LfZhNioINit2LDZgSDYsdmC2YU=?=</f>
        <v/>
      </c>
      <c r="D39" s="5" t="inlineStr">
        <is>
          <t>How can i talk to your customer service? Regards,  Moshkan Taqi</t>
        </is>
      </c>
      <c r="E39" s="7" t="inlineStr"/>
    </row>
    <row r="40" ht="18" customHeight="1">
      <c r="A40" s="2" t="inlineStr">
        <is>
          <t>k uw &lt;kuw622@yahoo.com&gt;</t>
        </is>
      </c>
      <c r="B40" s="3" t="inlineStr">
        <is>
          <t>kuw622@yahoo.com</t>
        </is>
      </c>
      <c r="C40" s="2">
        <f>?utf-8?B?2KfYsdis2Ygg2YXYs9itINix2YLZhdmKINmF2YYg2YXZhtmIINiv?=  =?utf-8?B?2KfZgg==?=</f>
        <v/>
      </c>
      <c r="D40" s="2" t="inlineStr">
        <is>
          <t>Hello! How can we help you?   ‫أُرسلت من الـ iPhone‬</t>
        </is>
      </c>
      <c r="E40" s="4" t="inlineStr"/>
    </row>
    <row r="41" ht="18" customHeight="1">
      <c r="A41" s="5" t="inlineStr">
        <is>
          <t>Jory Alazmy &lt;jory.alazmy22@gmail.com&gt;</t>
        </is>
      </c>
      <c r="B41" s="6" t="inlineStr">
        <is>
          <t>jory.alazmy22@gmail.com</t>
        </is>
      </c>
      <c r="C41" s="5">
        <f>?utf-8?B?2LfZhNioINit2LDZgSDYsdmC2YU=?=</f>
        <v/>
      </c>
      <c r="D41" s="5" t="inlineStr">
        <is>
          <t xml:space="preserve"> انه ليس اسمي واسماء بذيئه لا تليق بي  ‫أُرسلت من الـ iPhone‬</t>
        </is>
      </c>
      <c r="E41" s="7" t="inlineStr"/>
    </row>
    <row r="42" ht="18" customHeight="1">
      <c r="A42" s="2" t="inlineStr">
        <is>
          <t>Mohamad Alrubaian &lt;rubiainy@icloud.com&gt;</t>
        </is>
      </c>
      <c r="B42" s="3" t="inlineStr">
        <is>
          <t>rubiainy@icloud.com</t>
        </is>
      </c>
      <c r="C42" s="2" t="inlineStr"/>
      <c r="D42" s="2" t="inlineStr">
        <is>
          <t>Hello! How can we help you?  Report متطفلين حسب بلاغات من بلدك KW :   Sent from my iPhone</t>
        </is>
      </c>
      <c r="E42" s="4" t="inlineStr"/>
    </row>
    <row r="43" ht="18" customHeight="1">
      <c r="A43" s="5" t="inlineStr">
        <is>
          <t>Bodour Mairza &lt;bodourmairza@gmail.com&gt;</t>
        </is>
      </c>
      <c r="B43" s="6" t="inlineStr">
        <is>
          <t>bodourmairza@gmail.com</t>
        </is>
      </c>
      <c r="C43" s="5" t="inlineStr"/>
      <c r="D43" s="5" t="inlineStr">
        <is>
          <t>Hello! How can we help you?  Report متطفلين حسب بلاغات من بلدك KW :   Sent from my iPhone</t>
        </is>
      </c>
      <c r="E43" s="7" t="inlineStr"/>
    </row>
    <row r="44" ht="18" customHeight="1">
      <c r="A44" s="2" t="inlineStr">
        <is>
          <t>Azeez Almteiri &lt;almteiri@icloud.com&gt;</t>
        </is>
      </c>
      <c r="B44" s="3" t="inlineStr">
        <is>
          <t>almteiri@icloud.com</t>
        </is>
      </c>
      <c r="C44" s="2">
        <f>?utf-8?B?2LTZhNmI2YYg2KfYrdiw2YEg2LHZgtmF?=</f>
        <v/>
      </c>
      <c r="D44" s="2" t="inlineStr">
        <is>
          <t xml:space="preserve"> السلام عليكم ورحمة الله وبركاتة ، يعطيكم العافية  استفسار اذا في رقم نبي نحذف بياناته ما هي الطريقة ؟ وشكراً لكم</t>
        </is>
      </c>
      <c r="E44" s="4" t="inlineStr"/>
    </row>
    <row r="45" ht="18" customHeight="1">
      <c r="A45" s="5" t="inlineStr">
        <is>
          <t>Maha Q8 &lt;mahawity@gmail.com&gt;</t>
        </is>
      </c>
      <c r="B45" s="6" t="inlineStr">
        <is>
          <t>mahawity@gmail.com</t>
        </is>
      </c>
      <c r="C45" s="5" t="inlineStr">
        <is>
          <t>Re: Its make me in danger and not privacy</t>
        </is>
      </c>
      <c r="D45" s="5" t="inlineStr">
        <is>
          <t xml:space="preserve"> &lt;mahawity@gmail.com&gt; wrote:  &gt; Hello ,  I wish you help me ! This is my number and somebody saving it by &gt; my address and that make me not save !  And no privacy any more &gt; Sooo please remove or delete my address ,, forever ! I wish that &gt; And I will put the pic of my address ! &gt; &gt; pleeeaaase &gt; &gt; </t>
        </is>
      </c>
      <c r="E45" s="7" t="inlineStr"/>
    </row>
    <row r="46" ht="18" customHeight="1">
      <c r="A46" s="2">
        <f>?utf-8?B?2KjYp9ix2KjZiiDZg9in2LHZhNmI2LM=?= &lt;miss_3yon1@hotmail.com&gt;</f>
        <v/>
      </c>
      <c r="B46" s="3" t="inlineStr">
        <is>
          <t>miss_3yon1@hotmail.com</t>
        </is>
      </c>
      <c r="C46" s="2" t="inlineStr"/>
      <c r="D46" s="2" t="inlineStr">
        <is>
          <t xml:space="preserve">Hello! How can we help you?  Sent from my iPhone انا حاطه خدمة البلوك ولم يمضي 6 اشهر و اليوم ارسلتولي ان انتهى اشتراكي؟؟؟!!! لماذا </t>
        </is>
      </c>
      <c r="E46" s="4" t="inlineStr"/>
    </row>
    <row r="47" ht="18" customHeight="1">
      <c r="A47" s="5" t="inlineStr">
        <is>
          <t>Yousef Enezi &lt;salh_1956@icloud.com&gt;</t>
        </is>
      </c>
      <c r="B47" s="6" t="inlineStr">
        <is>
          <t>salh_1956@icloud.com</t>
        </is>
      </c>
      <c r="C47" s="5">
        <f>?utf-8?B?2KfZhtiq2YfYp9ihINin2YTYp9i02KrYsdin2YM=?=</f>
        <v/>
      </c>
      <c r="D47" s="5" t="inlineStr">
        <is>
          <t xml:space="preserve">لماذا تم ايقاف اشتراكي علماً بإني جددت الاشتراك بتاريخ 13/4/2025 لمدة عام ؟  </t>
        </is>
      </c>
      <c r="E47" s="7" t="inlineStr"/>
    </row>
    <row r="48" ht="18" customHeight="1">
      <c r="A48" s="2" t="inlineStr">
        <is>
          <t>Bazza aladwani &lt;bazzaaladwani@gmail.com&gt;</t>
        </is>
      </c>
      <c r="B48" s="3" t="inlineStr">
        <is>
          <t>bazzaaladwani@gmail.com</t>
        </is>
      </c>
      <c r="C48" s="2" t="inlineStr"/>
      <c r="D48" s="2" t="inlineStr">
        <is>
          <t xml:space="preserve"> السلام عليكم ابي رابط التطبيق</t>
        </is>
      </c>
      <c r="E48" s="4" t="inlineStr"/>
    </row>
    <row r="49" ht="18" customHeight="1">
      <c r="A49" s="5" t="inlineStr">
        <is>
          <t>ahmed taha &lt;ahmedzikoh@yahoo.com&gt;</t>
        </is>
      </c>
      <c r="B49" s="6" t="inlineStr">
        <is>
          <t>ahmedzikoh@yahoo.com</t>
        </is>
      </c>
      <c r="C49" s="5">
        <f>?utf-8?B?2LfZhNioINit2LDZgSDYsdmC2YU=?=</f>
        <v/>
      </c>
      <c r="D49" s="5" t="inlineStr">
        <is>
          <t>اريد حذف كل اسم على هذا الرقم متعلق بالسيارات او الباصات حيث انها معلومات قديمة جداً</t>
        </is>
      </c>
      <c r="E49" s="7" t="inlineStr"/>
    </row>
    <row r="50" ht="18" customHeight="1">
      <c r="A50" s="2" t="inlineStr">
        <is>
          <t>Adil Mohammed &lt;adilmohammed78901@gmail.com&gt;</t>
        </is>
      </c>
      <c r="B50" s="3" t="inlineStr">
        <is>
          <t>adilmohammed78901@gmail.com</t>
        </is>
      </c>
      <c r="C50" s="2" t="inlineStr">
        <is>
          <t>Add My Company</t>
        </is>
      </c>
      <c r="D50" s="2" t="inlineStr">
        <is>
          <t>You are one step away from taking your business to the next level!  Provide us with the following:  Manadatory Fields: Name Arabic. Name English. Website. Phone. Business sector. Optional Fields: Location. Email. Notes.  Notes:  We will review the data provided including the mandatory fields. If all went alright! We will call you to authenticate you and your relation to the mentioned business. This may take up to a week.   ‫أُرسلت من الـ iPhone‬</t>
        </is>
      </c>
      <c r="E50" s="4" t="inlineStr"/>
    </row>
    <row r="51" ht="18" customHeight="1">
      <c r="A51" s="5" t="inlineStr">
        <is>
          <t>Hassan Alshatti &lt;halshatti7@gmail.com&gt;</t>
        </is>
      </c>
      <c r="B51" s="6" t="inlineStr">
        <is>
          <t>halshatti7@gmail.com</t>
        </is>
      </c>
      <c r="C51" s="5">
        <f>?utf-8?B?2YXYrdin2YXZiiDYp9mI2LHZitiv2Yg=?=</f>
        <v/>
      </c>
      <c r="D51" s="5" t="inlineStr">
        <is>
          <t>Hello! How can we help you?  Report متطفلين حسب بلاغات من بلدك KW :   ‫أُرسلت من الـ iPhone‬</t>
        </is>
      </c>
      <c r="E51" s="7" t="inlineStr"/>
    </row>
    <row r="52" ht="18" customHeight="1">
      <c r="A52" s="2" t="inlineStr">
        <is>
          <t>khaled Eid &lt;jaberbo801@icloud.com&gt;</t>
        </is>
      </c>
      <c r="B52" s="3" t="inlineStr">
        <is>
          <t>jaberbo801@icloud.com</t>
        </is>
      </c>
      <c r="C52" s="2">
        <f>?utf-8?B?4oCP2KfZhNix2KzYp9ihINit2LjYsSDZh9iw2Kcg2KfZhNix2YI=?=  =?utf-8?B?2YUg2YjYsNmE2YMg2YTYo9iz2KjYp9ioINi52KfYptmE2YrYqTkw?=  =?utf-8?B?OTE3Nzc4?=</f>
        <v/>
      </c>
      <c r="D52" s="2" t="inlineStr">
        <is>
          <t xml:space="preserve">‏الرجاء حظر هذا الرقم وذلك لأسباب عائلية90917778  </t>
        </is>
      </c>
      <c r="E52" s="4" t="inlineStr"/>
    </row>
    <row r="53" ht="18" customHeight="1">
      <c r="A53" s="5" t="inlineStr">
        <is>
          <t>fajer hamad &lt;faldughailbi@outlook.com&gt;</t>
        </is>
      </c>
      <c r="B53" s="6" t="inlineStr">
        <is>
          <t>faldughailbi@outlook.com</t>
        </is>
      </c>
      <c r="C53" s="5">
        <f>?iso-8859-6?B?1+TIIM3Q4SDR4uU=?=</f>
        <v/>
      </c>
      <c r="D53" s="5" t="inlineStr">
        <is>
          <t xml:space="preserve"> Sent from my iPhone </t>
        </is>
      </c>
      <c r="E53" s="7" t="inlineStr"/>
    </row>
    <row r="54" ht="18" customHeight="1">
      <c r="A54" s="2">
        <f>?utf-8?Q?=E2=80=8FDalal_=E2=80=8F_Almutairi?= &lt;dlu494@yahoo.com&gt;</f>
        <v/>
      </c>
      <c r="B54" s="3" t="inlineStr">
        <is>
          <t>dlu494@yahoo.com</t>
        </is>
      </c>
      <c r="C54" s="2">
        <f>?utf-8?B?2LfZhNioINit2LDZgSDYsdmC2YU=?=</f>
        <v/>
      </c>
      <c r="D54" s="2" t="inlineStr">
        <is>
          <t>سلام عليكم رقمي احد مسجله أسامي غير لائقه  ( فاظل وبهلول وbahlol ممكنن تمسحونهم؟     أُرسلت من الـ iPhone‬</t>
        </is>
      </c>
      <c r="E54" s="4" t="inlineStr"/>
    </row>
    <row r="55" ht="18" customHeight="1">
      <c r="A55" s="5" t="inlineStr">
        <is>
          <t>"Khaled B. Alsaleh" &lt;alsaleh.khaled@gmail.com&gt;</t>
        </is>
      </c>
      <c r="B55" s="6" t="inlineStr">
        <is>
          <t>alsaleh.khaled@gmail.com</t>
        </is>
      </c>
      <c r="C55" s="5">
        <f>?utf-8?B?2KXYrtmB2KfYoSDYsdmC2YXZig==?=</f>
        <v/>
      </c>
      <c r="D55" s="5" t="inlineStr">
        <is>
          <t>Hello! How can we help you?  السلام عليكم من فضلكم أبي أخفي رقمي.  طرار مطلع رقمي من برنامجكم ومتصل فيني يطر.   Regards,  Khaled B. Alsaleh</t>
        </is>
      </c>
      <c r="E55" s="7" t="inlineStr"/>
    </row>
    <row r="56" ht="18" customHeight="1">
      <c r="A56" s="2">
        <f>?utf-8?Q?H=F0=9F=92=9F_alblooshy?= &lt;zahraa21x@icloud.com&gt;</f>
        <v/>
      </c>
      <c r="B56" s="3" t="inlineStr">
        <is>
          <t>zahraa21x@icloud.com</t>
        </is>
      </c>
      <c r="C56" s="2" t="inlineStr"/>
      <c r="D56" s="2" t="inlineStr">
        <is>
          <t>Hello! How can we help you?  Report متطفلين حسب بلاغات من بلدك KW :   ‫أُرسلت من الـ iPhone‬</t>
        </is>
      </c>
      <c r="E56" s="4" t="inlineStr"/>
    </row>
    <row r="57" ht="18" customHeight="1">
      <c r="A57" s="5" t="inlineStr">
        <is>
          <t>yasser serag &lt;alserag@live.com&gt;</t>
        </is>
      </c>
      <c r="B57" s="6" t="inlineStr">
        <is>
          <t>alserag@live.com</t>
        </is>
      </c>
      <c r="C57" s="5" t="inlineStr"/>
      <c r="D57" s="5" t="inlineStr">
        <is>
          <t xml:space="preserve">Hello! How can we help you?  Report متطفلين حسب بلاغات من بلدك KW :  Yasser </t>
        </is>
      </c>
      <c r="E57" s="7" t="inlineStr"/>
    </row>
    <row r="58" ht="18" customHeight="1">
      <c r="A58" s="2">
        <f>?UTF-8?B?2YXYrdmF2K8g2LPZhNmF2KfZhg==?= &lt;kwt.501.ms@gmail.com&gt;</f>
        <v/>
      </c>
      <c r="B58" s="3" t="inlineStr">
        <is>
          <t>kwt.501.ms@gmail.com</t>
        </is>
      </c>
      <c r="C58" s="2" t="inlineStr"/>
      <c r="D58" s="2" t="inlineStr">
        <is>
          <t xml:space="preserve">ابي امسح الاسماء تطلع باسمي </t>
        </is>
      </c>
      <c r="E58" s="4" t="inlineStr"/>
    </row>
    <row r="59" ht="18" customHeight="1">
      <c r="A59" s="5" t="inlineStr">
        <is>
          <t>Badah Almutairi &lt;badah.h@icloud.com&gt;</t>
        </is>
      </c>
      <c r="B59" s="6" t="inlineStr">
        <is>
          <t>badah.h@icloud.com</t>
        </is>
      </c>
      <c r="C59" s="5" t="inlineStr"/>
      <c r="D59" s="5" t="inlineStr">
        <is>
          <t>Hello! How can we help you?  Report متطفلين حسب بلاغات من بلدك KW :   Sent from my iPhone</t>
        </is>
      </c>
      <c r="E59" s="7" t="inlineStr"/>
    </row>
    <row r="60" ht="18" customHeight="1">
      <c r="A60" s="2" t="inlineStr">
        <is>
          <t>"Y. Almutairi" &lt;yalmutairi22@gmail.com&gt;</t>
        </is>
      </c>
      <c r="B60" s="3" t="inlineStr">
        <is>
          <t>yalmutairi22@gmail.com</t>
        </is>
      </c>
      <c r="C60" s="2" t="inlineStr"/>
      <c r="D60" s="2" t="inlineStr">
        <is>
          <t xml:space="preserve">فيه خدمه منع اعلانات ؟ </t>
        </is>
      </c>
      <c r="E60" s="4" t="inlineStr"/>
    </row>
    <row r="61" ht="18" customHeight="1">
      <c r="A61" s="5" t="inlineStr">
        <is>
          <t>life life &lt;mais6655@gmail.com&gt;</t>
        </is>
      </c>
      <c r="B61" s="6" t="inlineStr">
        <is>
          <t>mais6655@gmail.com</t>
        </is>
      </c>
      <c r="C61" s="5">
        <f>?utf-8?B?2LHZgtmFINmF2LLYudisINiq2YjYstmK2Lkg2KfZhNmC2LHYotmG?=  =?utf-8?B?INin2YTZg9ix2YrZhQ==?=</f>
        <v/>
      </c>
      <c r="D61" s="5" t="inlineStr">
        <is>
          <t xml:space="preserve">Hello! How can we help you?  Report متطفلين حسب بلاغات من بلدك KW :  </t>
        </is>
      </c>
      <c r="E61" s="7" t="inlineStr"/>
    </row>
    <row r="62" ht="18" customHeight="1">
      <c r="A62" s="2" t="inlineStr">
        <is>
          <t>Layla marafi &lt;layla_marafi@icloud.com&gt;</t>
        </is>
      </c>
      <c r="B62" s="3" t="inlineStr">
        <is>
          <t>layla_marafi@icloud.com</t>
        </is>
      </c>
      <c r="C62" s="2" t="inlineStr"/>
      <c r="D62" s="2" t="inlineStr">
        <is>
          <t>Hello! How can we help you?  Report Spammers based in your country KW :   Sent from my iPhone</t>
        </is>
      </c>
      <c r="E62" s="4" t="inlineStr"/>
    </row>
    <row r="63" ht="18" customHeight="1">
      <c r="A63" s="5" t="inlineStr">
        <is>
          <t>zooz Zooz &lt;zooz965w@gmail.com&gt;</t>
        </is>
      </c>
      <c r="B63" s="6" t="inlineStr">
        <is>
          <t>zooz965w@gmail.com</t>
        </is>
      </c>
      <c r="C63" s="5" t="inlineStr"/>
      <c r="D63" s="5" t="inlineStr">
        <is>
          <t> </t>
        </is>
      </c>
      <c r="E63" s="7" t="inlineStr"/>
    </row>
    <row r="64" ht="18" customHeight="1">
      <c r="A64" s="2" t="inlineStr">
        <is>
          <t>Fatma Alrashef &lt;fatooota1@gmail.com&gt;</t>
        </is>
      </c>
      <c r="B64" s="3" t="inlineStr">
        <is>
          <t>fatooota1@gmail.com</t>
        </is>
      </c>
      <c r="C64" s="2">
        <f>?utf-8?B?2LfZhNioINit2LDZgSDYsdmC2YU=?=</f>
        <v/>
      </c>
      <c r="D64" s="2" t="inlineStr">
        <is>
          <t>الرجاء حذف رقمي Sent from my iPhone</t>
        </is>
      </c>
      <c r="E64" s="4" t="inlineStr"/>
    </row>
    <row r="65" ht="18" customHeight="1">
      <c r="A65" s="5" t="inlineStr">
        <is>
          <t>M Al &lt;alm19470@gmail.com&gt;</t>
        </is>
      </c>
      <c r="B65" s="6" t="inlineStr">
        <is>
          <t>alm19470@gmail.com</t>
        </is>
      </c>
      <c r="C65" s="5" t="inlineStr"/>
      <c r="D65" s="5" t="inlineStr">
        <is>
          <t xml:space="preserve">مهدي مرزوق الصندلي </t>
        </is>
      </c>
      <c r="E65" s="7" t="inlineStr"/>
    </row>
    <row r="66" ht="18" customHeight="1">
      <c r="A66" s="2" t="inlineStr">
        <is>
          <t>Dante AI &lt;connect@dante-ai.com&gt;</t>
        </is>
      </c>
      <c r="B66" s="3" t="inlineStr">
        <is>
          <t>connect@dante-ai.com</t>
        </is>
      </c>
      <c r="C66" s="2" t="inlineStr">
        <is>
          <t>The huge upgrade is here. Meet Dante Halo!</t>
        </is>
      </c>
      <c r="D66" s="2" t="inlineStr">
        <is>
          <t>Hi there!     The huge upgrade is here, and it’s only the beginning.     What used to be your simple chat widget has evolved into something truly powerful.    Meet **Dante Halo**, your intelligent AI agent that understands every customer and every question.     Halo has been completely reimagined to feel smoother, sound more natural, and deliver better results. It is faster, smarter, and built with **resolution-first intelligence****,** so every conversation ends with clarity and confidence.   ####**Get early access**      You can **try the new Dante Halo right now** and see how effortless it feels.    Preview your current widget beside the new Halo experience, explore the updates, and switc ...</t>
        </is>
      </c>
      <c r="E66" s="4" t="inlineStr"/>
    </row>
    <row r="67" ht="18" customHeight="1">
      <c r="A67" s="5">
        <f>?utf-8?B?2KjZiCDZgdmI2K/YsQ==?= &lt;alsager77700@gmail.com&gt;</f>
        <v/>
      </c>
      <c r="B67" s="6" t="inlineStr">
        <is>
          <t>alsager77700@gmail.com</t>
        </is>
      </c>
      <c r="C67" s="5" t="inlineStr"/>
      <c r="D67" s="5" t="inlineStr">
        <is>
          <t>Hello! How can we help you?  Report متطفلين حسب بلاغات من بلدك KW :   ‫أُرسلت من الـ iPhone‬</t>
        </is>
      </c>
      <c r="E67" s="7" t="inlineStr"/>
    </row>
    <row r="68" ht="18" customHeight="1">
      <c r="A68" s="2" t="inlineStr">
        <is>
          <t>"Joz '" &lt;yousefalthaidii@gmail.com&gt;</t>
        </is>
      </c>
      <c r="B68" s="3" t="inlineStr">
        <is>
          <t>yousefalthaidii@gmail.com</t>
        </is>
      </c>
      <c r="C68" s="2">
        <f>?utf-8?B?2KrZhSDYrdiw2YEg2LHZgtmF2Yog2YXZhiDYp9mE2KrYt9io2Yo=?=  =?utf-8?B?2YIg2YjYp9ix2YrYryDYp9i52KfYr9iq2Ycg2YTZitiz2KrYt9mK?=  =?utf-8?B?2Lkg2KfZhNmG2KfYsyDYp9mE2YjYtdmI2YQg2KfZhNmKINin2LE=?=  =?utf-8?B?2KzZiNmD2YU=?=</f>
        <v/>
      </c>
      <c r="D68" s="2" t="inlineStr">
        <is>
          <t>Hello! How can we help you?   ‫أُرسلت من الـ iPhone‬</t>
        </is>
      </c>
      <c r="E68" s="4" t="inlineStr"/>
    </row>
    <row r="69" ht="18" customHeight="1">
      <c r="A69" s="5" t="inlineStr">
        <is>
          <t>Eman Al-musllem &lt;e.al-musllem@hotmail.com&gt;</t>
        </is>
      </c>
      <c r="B69" s="6" t="inlineStr">
        <is>
          <t>e.al-musllem@hotmail.com</t>
        </is>
      </c>
      <c r="C69" s="5">
        <f>?iso-8859-6?B?1tHo0eo=?=</f>
        <v/>
      </c>
      <c r="D69" s="5" t="inlineStr">
        <is>
          <t xml:space="preserve">�� ��� ���� ����� ���� ����� ���� ����� ������ ���� �������  ���� ��� Outlook for Android&lt;https://aka.ms/AAb9ysg&gt; </t>
        </is>
      </c>
      <c r="E69" s="7" t="inlineStr"/>
    </row>
    <row r="70" ht="18" customHeight="1">
      <c r="A70" s="2" t="inlineStr">
        <is>
          <t>Tariq alfarisi &lt;taalfarisi77@gmail.com&gt;</t>
        </is>
      </c>
      <c r="B70" s="3" t="inlineStr">
        <is>
          <t>taalfarisi77@gmail.com</t>
        </is>
      </c>
      <c r="C70" s="2" t="inlineStr"/>
      <c r="D70" s="2" t="inlineStr">
        <is>
          <t>Hello! How can we help you?   Sent from my iPhone السلام عليكم بخصوص حجب الرقم في بداية البرنامج كان الدفع مره وحده ودفعت وبعد فتره تغسر النظام عندكم وصار سنوي وانلغت الميزه من عندي وصرت ادفع سنوي  والحين اخر مره دفعت قبل 7 شهور اليوم واصلني مسج انتهت الاشتراك مافي مصداقيه الحين الي يسوي بحث راح يلقى الرقم مع اني دافع الاشتراك</t>
        </is>
      </c>
      <c r="E70" s="4" t="inlineStr"/>
    </row>
    <row r="71" ht="18" customHeight="1">
      <c r="A71" s="5" t="inlineStr">
        <is>
          <t>Asmaa &lt;mama.asmaa30@gmail.com&gt;</t>
        </is>
      </c>
      <c r="B71" s="6" t="inlineStr">
        <is>
          <t>mama.asmaa30@gmail.com</t>
        </is>
      </c>
      <c r="C71" s="5">
        <f>?UTF-8?B?2LfZhNioINit2LDZgQ==?=</f>
        <v/>
      </c>
      <c r="D71" s="5" t="inlineStr">
        <is>
          <t xml:space="preserve">السلام عليكم ارجو حذف عنوان منزلي بالكامل لما فيه من خصوصيه بيانات سكني الخاص </t>
        </is>
      </c>
      <c r="E71" s="7" t="inlineStr"/>
    </row>
    <row r="72" ht="18" customHeight="1">
      <c r="A72" s="2" t="inlineStr">
        <is>
          <t>abofadak777@icloud.com</t>
        </is>
      </c>
      <c r="B72" s="3" t="inlineStr">
        <is>
          <t>abofadak777@icloud.com</t>
        </is>
      </c>
      <c r="C72" s="2" t="inlineStr"/>
      <c r="D72" s="2" t="inlineStr">
        <is>
          <t>Hello! How can we help you?  Report متطفلين حسب بلاغات من بلدك KW :  ارجو حذف رقمي من البرنامج ‫أُرسلت من الـ iPhone‬</t>
        </is>
      </c>
      <c r="E72" s="4" t="inlineStr"/>
    </row>
    <row r="73" ht="18" customHeight="1">
      <c r="A73" s="5" t="inlineStr">
        <is>
          <t>Huda Alsafran &lt;alsafranhuda@gmail.com&gt;</t>
        </is>
      </c>
      <c r="B73" s="6" t="inlineStr">
        <is>
          <t>alsafranhuda@gmail.com</t>
        </is>
      </c>
      <c r="C73" s="5" t="inlineStr"/>
      <c r="D73" s="5" t="inlineStr">
        <is>
          <t>Hello! How can we help you?  Report متطفلين حسب بلاغات من بلدك KW :   ‫أُرسلت من الـ iPhone‬</t>
        </is>
      </c>
      <c r="E73" s="7" t="inlineStr"/>
    </row>
    <row r="74" ht="18" customHeight="1">
      <c r="A74" s="2" t="inlineStr">
        <is>
          <t>Huda Alsafran &lt;alsafranhuda@gmail.com&gt;</t>
        </is>
      </c>
      <c r="B74" s="3" t="inlineStr">
        <is>
          <t>alsafranhuda@gmail.com</t>
        </is>
      </c>
      <c r="C74" s="2" t="inlineStr"/>
      <c r="D74" s="2" t="inlineStr">
        <is>
          <t>Hello! How can we help you?  Report متطفلين حسب بلاغات من بلدك KW :   ‫أُرسلت من الـ iPhone‬</t>
        </is>
      </c>
      <c r="E74" s="4" t="inlineStr"/>
    </row>
    <row r="75" ht="18" customHeight="1">
      <c r="A75" s="5" t="inlineStr">
        <is>
          <t>ibrahim Rayan &lt;ibrahimrayan21981@gmail.com&gt;</t>
        </is>
      </c>
      <c r="B75" s="6" t="inlineStr">
        <is>
          <t>ibrahimrayan21981@gmail.com</t>
        </is>
      </c>
      <c r="C75" s="5">
        <f>?UTF-8?B?2KrYutmK2LEg2KfZhNin2LPZhQ==?=</f>
        <v/>
      </c>
      <c r="D75" s="5" t="inlineStr">
        <is>
          <t xml:space="preserve">ارجو حذف الاسامي المختلفة </t>
        </is>
      </c>
      <c r="E75" s="7" t="inlineStr"/>
    </row>
    <row r="76" ht="18" customHeight="1">
      <c r="A76" s="2" t="inlineStr">
        <is>
          <t>shekoalx1980 sadek &lt;shekoalx1980@gmail.com&gt;</t>
        </is>
      </c>
      <c r="B76" s="3" t="inlineStr">
        <is>
          <t>shekoalx1980@gmail.com</t>
        </is>
      </c>
      <c r="C76" s="2">
        <f>?UTF-8?B?2KfYrdiq2KfYrCDYudmF2YQg2KjZhNmI2YMg2YTYsdmC2YUg2YfYp9iq2YEg2YXZhiDYqg==?= 	=?UTF-8?B?2LfYqNmK2YIg2YXZhtmIINiv2KfZgg==?=</f>
        <v/>
      </c>
      <c r="D76" s="2" t="inlineStr">
        <is>
          <t> </t>
        </is>
      </c>
      <c r="E76" s="4" t="inlineStr"/>
    </row>
    <row r="77" ht="18" customHeight="1">
      <c r="A77" s="5" t="inlineStr">
        <is>
          <t>Hn An &lt;aeaxn.22@gmail.com&gt;</t>
        </is>
      </c>
      <c r="B77" s="6" t="inlineStr">
        <is>
          <t>aeaxn.22@gmail.com</t>
        </is>
      </c>
      <c r="C77" s="5">
        <f>?utf-8?B?2KfZhNiz2YTYp9mFINmI2KfZhNix2K3ZhdmHINmF2YXZg9mGINmF?=  =?utf-8?B?2LPYrSDYp9mE2KfYs9in2KbZhyDYudmE2Ykg2KfZhNix2YLZhSA2?=  =?utf-8?B?NTY5MTAwMCDZhtmI2Lkg2KfZhNin2LPYp9im2Ycg2KjZhtiqINiy?=  =?utf-8?B?2KjYp9mE2Ycg2KrYs9im2YQg2YjYqti02LHYrw==?=</f>
        <v/>
      </c>
      <c r="D77" s="5" t="inlineStr">
        <is>
          <t>﻿  ‫أُرسلت من الـ iPhone‬</t>
        </is>
      </c>
      <c r="E77" s="7" t="inlineStr"/>
    </row>
    <row r="78" ht="18" customHeight="1">
      <c r="A78" s="2" t="inlineStr">
        <is>
          <t>Hn An &lt;aeaxn.22@gmail.com&gt;</t>
        </is>
      </c>
      <c r="B78" s="3" t="inlineStr">
        <is>
          <t>aeaxn.22@gmail.com</t>
        </is>
      </c>
      <c r="C78" s="2">
        <f>?utf-8?B?2KfZhNiz2YTYp9mFINmI2KfZhNix2K3ZhdmHINmF2YXZg9mGINmF?=  =?utf-8?B?2LPYrSDYp9mE2KfYs9in2KbZhyDYudmE2Ykg2KfZhNix2YLZhSA2?=  =?utf-8?B?NTY5MTAwMCDZhtmI2Lkg2KfZhNin2LPYp9im2Ycg2KjZhtiqINiy?=  =?utf-8?B?2KjYp9mE2Ycg2KrYs9im2YQg2YjYqti02LHYrw==?=</f>
        <v/>
      </c>
      <c r="D78" s="2" t="inlineStr">
        <is>
          <t>﻿  ‫أُرسلت من الـ iPhone‬</t>
        </is>
      </c>
      <c r="E78" s="4" t="inlineStr"/>
    </row>
    <row r="79" ht="18" customHeight="1">
      <c r="A79" s="5" t="inlineStr">
        <is>
          <t>Hn An &lt;aeaxn.22@gmail.com&gt;</t>
        </is>
      </c>
      <c r="B79" s="6" t="inlineStr">
        <is>
          <t>aeaxn.22@gmail.com</t>
        </is>
      </c>
      <c r="C79" s="5">
        <f>?utf-8?B?2KfZhNiz2YTYp9mFINmI2KfZhNix2K3ZhdmHINmF2YXZg9mGINmF?=  =?utf-8?B?2LPYrSDYp9mE2KfYs9in2KbZhyDYudmE2Ykg2KfZhNix2YLZhSA2?=  =?utf-8?B?NTY5MTAwMCDZhtmI2Lkg2KfZhNin2LPYp9im2Ycg2KjZhtiqINiy?=  =?utf-8?B?2KjYp9mE2Ycg2KrYs9im2YQg2YjYqti02LHYrw==?=</f>
        <v/>
      </c>
      <c r="D79" s="5" t="inlineStr">
        <is>
          <t>﻿  ‫أُرسلت من الـ iPhone‬</t>
        </is>
      </c>
      <c r="E79" s="7" t="inlineStr"/>
    </row>
    <row r="80" ht="18" customHeight="1">
      <c r="A80" s="2" t="inlineStr">
        <is>
          <t>Hn An &lt;aeaxn.22@gmail.com&gt;</t>
        </is>
      </c>
      <c r="B80" s="3" t="inlineStr">
        <is>
          <t>aeaxn.22@gmail.com</t>
        </is>
      </c>
      <c r="C80" s="2">
        <f>?utf-8?B?2KfZhNiz2YTYp9mFINmI2KfZhNix2K3ZhdmHINmF2YXZg9mGINmF?=  =?utf-8?B?2LPYrSDYp9mE2KfYs9in2KbZhyDYudmE2Ykg2KfZhNix2YLZhSA2?=  =?utf-8?B?NTY5MTAwMCDZhtmI2Lkg2KfZhNin2LPYp9im2Ycg2KjZhtiqINiy?=  =?utf-8?B?2KjYp9mE2Ycg2KrYs9im2YQg2YjYqti02LHYrw==?=</f>
        <v/>
      </c>
      <c r="D80" s="2" t="inlineStr">
        <is>
          <t>﻿  ‫أُرسلت من الـ iPhone‬</t>
        </is>
      </c>
      <c r="E80" s="4" t="inlineStr"/>
    </row>
    <row r="81" ht="18" customHeight="1">
      <c r="A81" s="5" t="inlineStr">
        <is>
          <t>Hn An &lt;aeaxn.22@gmail.com&gt;</t>
        </is>
      </c>
      <c r="B81" s="6" t="inlineStr">
        <is>
          <t>aeaxn.22@gmail.com</t>
        </is>
      </c>
      <c r="C81" s="5">
        <f>?utf-8?B?2KfZhNiz2YTYp9mFINmI2KfZhNix2K3ZhdmHINmF2YXZg9mGINmF?=  =?utf-8?B?2LPYrSDYp9mE2KfYs9in2KbZhyDYudmE2Ykg2KfZhNix2YLZhSA2?=  =?utf-8?B?NTY5MTAwMCDZhtmI2Lkg2KfZhNin2LPYp9im2Ycg2KjZhtiqINiy?=  =?utf-8?B?2KjYp9mE2Ycg2KrYs9im2YQg2YjYqti02LHYrw==?=</f>
        <v/>
      </c>
      <c r="D81" s="5" t="inlineStr">
        <is>
          <t>﻿  ‫أُرسلت من الـ iPhone‬</t>
        </is>
      </c>
      <c r="E81" s="7" t="inlineStr"/>
    </row>
    <row r="82" ht="18" customHeight="1">
      <c r="A82" s="2" t="inlineStr">
        <is>
          <t>Hn An &lt;aeaxn.22@gmail.com&gt;</t>
        </is>
      </c>
      <c r="B82" s="3" t="inlineStr">
        <is>
          <t>aeaxn.22@gmail.com</t>
        </is>
      </c>
      <c r="C82" s="2">
        <f>?utf-8?B?2KfZhNiz2YTYp9mFINmI2KfZhNix2K3ZhdmHINmF2YXZg9mGINmF?=  =?utf-8?B?2LPYrSDYp9mE2KfYs9in2KbZhyDYudmE2Ykg2KfZhNix2YLZhSA2?=  =?utf-8?B?NTY5MTAwMCDZhtmI2Lkg2KfZhNin2LPYp9im2Ycg2KjZhtiqINiy?=  =?utf-8?B?2KjYp9mE2Ycg2KrYs9im2YQg2YjYqti02LHYrw==?=</f>
        <v/>
      </c>
      <c r="D82" s="2" t="inlineStr">
        <is>
          <t>﻿  ‫أُرسلت من الـ iPhone‬</t>
        </is>
      </c>
      <c r="E82" s="4" t="inlineStr"/>
    </row>
    <row r="83" ht="18" customHeight="1">
      <c r="A83" s="5" t="inlineStr">
        <is>
          <t>Hn An &lt;aeaxn.22@gmail.com&gt;</t>
        </is>
      </c>
      <c r="B83" s="6" t="inlineStr">
        <is>
          <t>aeaxn.22@gmail.com</t>
        </is>
      </c>
      <c r="C83" s="5">
        <f>?utf-8?B?2KfZhNiz2YTYp9mFINmI2KfZhNix2K3ZhdmHINmF2YXZg9mGINmF?=  =?utf-8?B?2LPYrSDYp9mE2KfYs9in2KbZhyDYudmE2Ykg2KfZhNix2YLZhSA2?=  =?utf-8?B?NTY5MTAwMCDZhtmI2Lkg2KfZhNin2LPYp9im2Ycg2KjZhtiqINiy?=  =?utf-8?B?2KjYp9mE2Ycg2KrYs9im2YQg2YjYqti02LHYrw==?=</f>
        <v/>
      </c>
      <c r="D83" s="5" t="inlineStr">
        <is>
          <t>﻿  ‫أُرسلت من الـ iPhone‬</t>
        </is>
      </c>
      <c r="E83" s="7" t="inlineStr"/>
    </row>
    <row r="84" ht="18" customHeight="1">
      <c r="A84" s="2" t="inlineStr">
        <is>
          <t>Hn An &lt;aeaxn.22@gmail.com&gt;</t>
        </is>
      </c>
      <c r="B84" s="3" t="inlineStr">
        <is>
          <t>aeaxn.22@gmail.com</t>
        </is>
      </c>
      <c r="C84" s="2">
        <f>?utf-8?B?2KfZhNiz2YTYp9mFINmI2KfZhNix2K3ZhdmHINmF2YXZg9mGINmF?=  =?utf-8?B?2LPYrSDYp9mE2KfYs9in2KbZhyDYudmE2Ykg2KfZhNix2YLZhSA2?=  =?utf-8?B?NTY5MTAwMCDZhtmI2Lkg2KfZhNin2LPYp9im2Ycg2KjZhtiqINiy?=  =?utf-8?B?2KjYp9mE2Ycg2KrYs9im2YQg2YjYqti02LHYrw==?=</f>
        <v/>
      </c>
      <c r="D84" s="2" t="inlineStr">
        <is>
          <t>﻿  ‫أُرسلت من الـ iPhone‬</t>
        </is>
      </c>
      <c r="E84" s="4" t="inlineStr"/>
    </row>
    <row r="85" ht="18" customHeight="1">
      <c r="A85" s="5" t="inlineStr">
        <is>
          <t>Hn An &lt;aeaxn.22@gmail.com&gt;</t>
        </is>
      </c>
      <c r="B85" s="6" t="inlineStr">
        <is>
          <t>aeaxn.22@gmail.com</t>
        </is>
      </c>
      <c r="C85" s="5">
        <f>?utf-8?B?2KfZhNiz2YTYp9mFINmI2KfZhNix2K3ZhdmHINmF2YXZg9mGINmF?=  =?utf-8?B?2LPYrSDYp9mE2KfYs9in2KbZhyDYudmE2Ykg2KfZhNix2YLZhSA2?=  =?utf-8?B?NTY5MTAwMCDZhtmI2Lkg2KfZhNin2LPYp9im2Ycg2KjZhtiqINiy?=  =?utf-8?B?2KjYp9mE2Ycg2KrYs9im2YQg2YjYqti02LHYrw==?=</f>
        <v/>
      </c>
      <c r="D85" s="5" t="inlineStr">
        <is>
          <t>﻿  ‫أُرسلت من الـ iPhone‬</t>
        </is>
      </c>
      <c r="E85" s="7" t="inlineStr"/>
    </row>
    <row r="86" ht="18" customHeight="1">
      <c r="A86" s="2" t="inlineStr">
        <is>
          <t>Hn An &lt;aeaxn.22@gmail.com&gt;</t>
        </is>
      </c>
      <c r="B86" s="3" t="inlineStr">
        <is>
          <t>aeaxn.22@gmail.com</t>
        </is>
      </c>
      <c r="C86" s="2">
        <f>?utf-8?B?2KfZhNiz2YTYp9mFINmI2KfZhNix2K3ZhdmHINmF2YXZg9mGINmF?=  =?utf-8?B?2LPYrSDYp9mE2KfYs9in2KbZhyDYudmE2Ykg2KfZhNix2YLZhSA2?=  =?utf-8?B?NTY5MTAwMCDZhtmI2Lkg2KfZhNin2LPYp9im2Ycg2KjZhtiqINiy?=  =?utf-8?B?2KjYp9mE2Ycg2KrYs9im2YQg2YjYqti02LHYrw==?=</f>
        <v/>
      </c>
      <c r="D86" s="2" t="inlineStr">
        <is>
          <t>﻿  ‫أُرسلت من الـ iPhone‬</t>
        </is>
      </c>
      <c r="E86" s="4" t="inlineStr"/>
    </row>
    <row r="87" ht="18" customHeight="1">
      <c r="A87" s="5" t="inlineStr">
        <is>
          <t>Hn An &lt;aeaxn.22@gmail.com&gt;</t>
        </is>
      </c>
      <c r="B87" s="6" t="inlineStr">
        <is>
          <t>aeaxn.22@gmail.com</t>
        </is>
      </c>
      <c r="C87" s="5">
        <f>?utf-8?B?2KfZhNiz2YTYp9mFINmI2KfZhNix2K3ZhdmHINmF2YXZg9mGINmF?=  =?utf-8?B?2LPYrSDYp9mE2KfYs9in2KbZhyDYudmE2Ykg2KfZhNix2YLZhSA2?=  =?utf-8?B?NTY5MTAwMCDZhtmI2Lkg2KfZhNin2LPYp9im2Ycg2KjZhtiqINiy?=  =?utf-8?B?2KjYp9mE2Ycg2KrYs9im2YQg2YjYqti02LHYrw==?=</f>
        <v/>
      </c>
      <c r="D87" s="5" t="inlineStr">
        <is>
          <t xml:space="preserve"> ‫أُرسلت من الـ iPhone‬</t>
        </is>
      </c>
      <c r="E87" s="7" t="inlineStr"/>
    </row>
    <row r="88" ht="18" customHeight="1">
      <c r="A88" s="2" t="inlineStr">
        <is>
          <t>Ana Me &lt;a7ebny@gmail.com&gt;</t>
        </is>
      </c>
      <c r="B88" s="3" t="inlineStr">
        <is>
          <t>a7ebny@gmail.com</t>
        </is>
      </c>
      <c r="C88" s="2">
        <f>?UTF-8?B?UmU6INiq2YUg2K3YrNioINin2YTYsdmC2YUg2KfZhNmF2LfZhNmI2Kg=?=</f>
        <v/>
      </c>
      <c r="D88" s="2" t="inlineStr">
        <is>
          <t xml:space="preserve">يا ويلكم ان شاء الله    On Thu, 9 Oct 2025, 7:04 am Ana Me, &lt;a7ebny@gmail.com&gt; wrote:  &gt; ليلحين يطلع &gt; &gt; On Wed, 8 Oct 2025, 9:21 pm تطبيق منو داق, &lt;sales@menodag.com&gt; wrote: &gt; &gt;&gt; &gt;&gt; </t>
        </is>
      </c>
      <c r="E88" s="4" t="inlineStr"/>
    </row>
    <row r="89" ht="18" customHeight="1">
      <c r="A89" s="5">
        <f>?UTF-8?B?2YfYtNin2YUg2KfZhNis2KjZhNmKINin2YTYrNio2YTZig==?= &lt;hshamaljblya@gmail.com&gt;</f>
        <v/>
      </c>
      <c r="B89" s="6" t="inlineStr">
        <is>
          <t>hshamaljblya@gmail.com</t>
        </is>
      </c>
      <c r="C89" s="5" t="inlineStr"/>
      <c r="D89" s="5" t="inlineStr">
        <is>
          <t xml:space="preserve">دمت </t>
        </is>
      </c>
      <c r="E89" s="7" t="inlineStr"/>
    </row>
    <row r="90" ht="18" customHeight="1">
      <c r="A90" s="2" t="inlineStr">
        <is>
          <t>asma Abduljader &lt;abduljader032@gmail.com&gt;</t>
        </is>
      </c>
      <c r="B90" s="3" t="inlineStr">
        <is>
          <t>abduljader032@gmail.com</t>
        </is>
      </c>
      <c r="C90" s="2">
        <f>?utf-8?B?2LHZgtmFIDY1MDY2NTEwINmF2LPZiNmK2Ycg2KjZhNmI2YMg2LQ=?=  =?utf-8?B?2YfYsSDZpiDZiNi02KfZhNmI2Ycg2LTZh9ixINin2YPYqtmI2Kg=?=  =?utf-8?B?2LEg2YLYqNmEINmK2YPYqtmF2YQg2LPZhtmHICHYnyDZhNmK2LQg?=  =?utf-8?B?2J8=?=</f>
        <v/>
      </c>
      <c r="D90" s="2" t="inlineStr">
        <is>
          <t xml:space="preserve"> ‫أُرسلت من الـ iPhone‬</t>
        </is>
      </c>
      <c r="E90" s="4" t="inlineStr"/>
    </row>
    <row r="91" ht="18" customHeight="1">
      <c r="A91" s="5" t="inlineStr">
        <is>
          <t>Bo khaled &lt;saleh.ftw@gmail.com&gt;</t>
        </is>
      </c>
      <c r="B91" s="6" t="inlineStr">
        <is>
          <t>saleh.ftw@gmail.com</t>
        </is>
      </c>
      <c r="C91" s="5">
        <f>?UTF-8?B?2KfYsNinINiq2YUg2LnZhdmEINin2YTYqNmE2YjZgyDYqNin2YTZgdmK2LLYpyDZhdin?= 	=?UTF-8?B?2YfZiiDZhdiv2KrZhyDYn9ifINmE2KfYstin2KrZhyDYqNi52K8g2LDZhNmD?=</f>
        <v/>
      </c>
      <c r="D91" s="5" t="inlineStr">
        <is>
          <t> </t>
        </is>
      </c>
      <c r="E91" s="7" t="inlineStr"/>
    </row>
    <row r="92" ht="18" customHeight="1">
      <c r="A92" s="2" t="inlineStr">
        <is>
          <t>Hn An &lt;aeaxn.22@gmail.com&gt;</t>
        </is>
      </c>
      <c r="B92" s="3" t="inlineStr">
        <is>
          <t>aeaxn.22@gmail.com</t>
        </is>
      </c>
      <c r="C92" s="2">
        <f>?utf-8?B?2KfZhNiz2YTYp9mFINmI2KfZhNix2K3ZhdmHINmF2YXZg9mGINmF?=  =?utf-8?B?2LPYrSDYp9mE2KfYs9in2KbZhyDYudmE2Ykg2KfZhNix2YLZhSA2?=  =?utf-8?B?NTY5MTAwMC4gINi52YXZhNipINio2YTYp9i6INi52YTZiSDYp9mE?=  =?utf-8?B?2KfYs9in2KbZhyDZiNmE2YUg2KrZhdiz2K0gINin2YTZhNmHINmK?=  =?utf-8?B?2KzYstin2YPZhSDYrtmK2LEg2YrYp9mE2YrYqiDYqtmF2LPYrSA=?=  =?utf-8?B?2KfZhNin2LPYp9im2Ycg2YbZiNi5INin2YTYp9iz2KfYptmHINio?=  =?utf-8?B?2YbYqiDYstio2KfZhNmHINiq2LPYp9mEINmI2KrYtNix2K8g?=</f>
        <v/>
      </c>
      <c r="D92" s="2" t="inlineStr">
        <is>
          <t xml:space="preserve"> ‫أُرسلت من الـ iPhone‬</t>
        </is>
      </c>
      <c r="E92" s="4" t="inlineStr"/>
    </row>
    <row r="93" ht="18" customHeight="1">
      <c r="A93" s="5" t="inlineStr">
        <is>
          <t>salim al harpy &lt;solom999@hotmail.com&gt;</t>
        </is>
      </c>
      <c r="B93" s="6" t="inlineStr">
        <is>
          <t>solom999@hotmail.com</t>
        </is>
      </c>
      <c r="C93" s="5">
        <f>?utf-8?B?2YXZhtmIINiv2KfZgg==?=</f>
        <v/>
      </c>
      <c r="D93" s="5" t="inlineStr">
        <is>
          <t xml:space="preserve">السلام عليكم ورحمة الله وبركاته  هل يتم تحديث الاسماء باستمرار ام لا  وهل يتم تحديث للبرنامج ام مازال لايوجد له تحديث  وشكرا  ‏👍👍 </t>
        </is>
      </c>
      <c r="E93" s="7" t="inlineStr"/>
    </row>
    <row r="94" ht="18" customHeight="1">
      <c r="A94" s="2" t="inlineStr">
        <is>
          <t>Hn An &lt;aeaxn.22@gmail.com&gt;</t>
        </is>
      </c>
      <c r="B94" s="3" t="inlineStr">
        <is>
          <t>aeaxn.22@gmail.com</t>
        </is>
      </c>
      <c r="C94" s="2">
        <f>?utf-8?B?2K3YsNmBINin2YTYp9iz2KfYptmHINi52YTZiSDYp9mE2LHZgtmF?=  =?utf-8?B?IDY1NjkxMDAwICAg2KfZhNin2LPYp9im2Ycg2YfZiiDYqNmG2Kog?=  =?utf-8?B?2LLYqNin2YTZhyDYqtiz2KbZhCDZiNiq2LTYsdivIA==?=</f>
        <v/>
      </c>
      <c r="D94" s="2" t="inlineStr">
        <is>
          <t xml:space="preserve"> ‫أُرسلت من الـ iPhone‬</t>
        </is>
      </c>
      <c r="E94" s="4" t="inlineStr"/>
    </row>
    <row r="95" ht="18" customHeight="1">
      <c r="A95" s="5" t="inlineStr">
        <is>
          <t>ahmad abdulla &lt;alfn4n@hotmail.com&gt;</t>
        </is>
      </c>
      <c r="B95" s="6" t="inlineStr">
        <is>
          <t>alfn4n@hotmail.com</t>
        </is>
      </c>
      <c r="C95" s="5">
        <f>?utf-8?B?2LfZhNioINin2LLYp9mE2Kk=?=</f>
        <v/>
      </c>
      <c r="D95" s="5" t="inlineStr">
        <is>
          <t xml:space="preserve">Hello! How can we help you?  السلام عليكم  يرجى اخفاء اظهار اسمي من البرنامج سواء بشكل كلي، او بشكل جزئي بحيث يتم اخفاء بعض المسميات التي تحتوي على تنمر واضح Sent from my iPhone </t>
        </is>
      </c>
      <c r="E95" s="7" t="inlineStr"/>
    </row>
    <row r="96" ht="18" customHeight="1">
      <c r="A96" s="2">
        <f>?UTF-8?B?2YXYpNiz2LPYqSDYqNmGINi52KfZhdix?= &lt;mwsstbnamr@gmail.com&gt;</f>
        <v/>
      </c>
      <c r="B96" s="3" t="inlineStr">
        <is>
          <t>mwsstbnamr@gmail.com</t>
        </is>
      </c>
      <c r="C96" s="2" t="inlineStr"/>
      <c r="D96" s="2" t="inlineStr">
        <is>
          <t> </t>
        </is>
      </c>
      <c r="E96" s="4" t="inlineStr"/>
    </row>
    <row r="97" ht="18" customHeight="1">
      <c r="A97" s="5" t="inlineStr">
        <is>
          <t>Bo khaled &lt;saleh.ftw@gmail.com&gt;</t>
        </is>
      </c>
      <c r="B97" s="6" t="inlineStr">
        <is>
          <t>saleh.ftw@gmail.com</t>
        </is>
      </c>
      <c r="C97" s="5">
        <f>?UTF-8?B?2KfYsNinINiq2YUg2LnZhdmEINio2YTZiNmDINmI2K/Zgdi5INi52YYg2LfYsdmK2YIg?= 	=?UTF-8?B?2KfZhNmB2YrYstinIC0g2YXYsdiq2YrZhg==?=</f>
        <v/>
      </c>
      <c r="D97" s="5" t="inlineStr">
        <is>
          <t xml:space="preserve">اذا تم عمل بلوك ودفع عن طريق الفيزا - مرتين  هل يتم ازالة البلوك ؟؟؟ </t>
        </is>
      </c>
      <c r="E97" s="7" t="inlineStr"/>
    </row>
    <row r="98" ht="18" customHeight="1">
      <c r="A98" s="2" t="inlineStr">
        <is>
          <t>Zahra S &lt;s_zahra_d@icloud.com&gt;</t>
        </is>
      </c>
      <c r="B98" s="3" t="inlineStr">
        <is>
          <t>s_zahra_d@icloud.com</t>
        </is>
      </c>
      <c r="C98" s="2" t="inlineStr"/>
      <c r="D98" s="2" t="inlineStr">
        <is>
          <t>Hello! How can we help you?      Sent from my iPhone</t>
        </is>
      </c>
      <c r="E98" s="4" t="inlineStr"/>
    </row>
    <row r="99" ht="18" customHeight="1">
      <c r="A99" s="5">
        <f>?utf-8?Q?=D9=85=D8=AD=D9=85=D8=AF_Ali?= &lt;schivwadux24t@gmail.com&gt;</f>
        <v/>
      </c>
      <c r="B99" s="6" t="inlineStr">
        <is>
          <t>schivwadux24t@gmail.com</t>
        </is>
      </c>
      <c r="C99" s="5">
        <f>?utf-8?B?2KjZhtmK2YbZitmG?=</f>
        <v/>
      </c>
      <c r="D99" s="5" t="inlineStr">
        <is>
          <t>Hello! How can we help you?  Report متطفلين حسب بلاغات من بلدك KW :   ‫أُرسلت من الـ iPhone‬</t>
        </is>
      </c>
      <c r="E99" s="7" t="inlineStr"/>
    </row>
    <row r="100" ht="18" customHeight="1">
      <c r="A100" s="2">
        <f>?utf-8?Q?=D9=85=D8=AD=D9=85=D8=AF_Ali?= &lt;schivwadux24t@gmail.com&gt;</f>
        <v/>
      </c>
      <c r="B100" s="3" t="inlineStr">
        <is>
          <t>schivwadux24t@gmail.com</t>
        </is>
      </c>
      <c r="C100" s="2">
        <f>?utf-8?B?2YjZitmG2YrZiA==?=</f>
        <v/>
      </c>
      <c r="D100" s="2" t="inlineStr">
        <is>
          <t>Hello! How can we help you?  Report متطفلين حسب بلاغات من بلدك KW :   ‫أُرسلت من الـ iPhone‬</t>
        </is>
      </c>
      <c r="E100" s="4" t="inlineStr"/>
    </row>
    <row r="101" ht="18" customHeight="1">
      <c r="A101" s="5" t="inlineStr">
        <is>
          <t>Mubarak Mail &lt;q81970@gmail.com&gt;</t>
        </is>
      </c>
      <c r="B101" s="6" t="inlineStr">
        <is>
          <t>q81970@gmail.com</t>
        </is>
      </c>
      <c r="C101" s="5">
        <f>?utf-8?B?2KrZgdi52YrZhCDYrdis2Kgg2KfZhNix2YLZhQ==?=</f>
        <v/>
      </c>
      <c r="D101" s="5" t="inlineStr">
        <is>
          <t>Hello! How can we help you?  السلام عليكم  انا كنت دافع من فتره لحجب الرقم وبالفعل تم الحجب ومن خلال المراجه ماخرا تبين بان الرقم مازال متاح للجميع ارجو التفسير Eng.Mubarak</t>
        </is>
      </c>
      <c r="E101" s="7" t="inlineStr"/>
    </row>
    <row r="102" ht="18" customHeight="1">
      <c r="A102" s="2" t="inlineStr">
        <is>
          <t>Hn An &lt;aeaxn.22@gmail.com&gt;</t>
        </is>
      </c>
      <c r="B102" s="3" t="inlineStr">
        <is>
          <t>aeaxn.22@gmail.com</t>
        </is>
      </c>
      <c r="C102" s="2">
        <f>?utf-8?B?2KfZhNiz2YTYp9mFINmI2KfZhNix2K3ZhdmHLiDZhdmF2YPZhiA=?=  =?utf-8?B?2YXYs9itINin2YTYp9iz2KfYptmHINi52YTZiSDYp9mE2LHZgtmF?=  =?utf-8?B?IDY1NjkxMDAwINin2YTYp9iz2KfYptmHINmH2YouINio2YbYqiA=?=  =?utf-8?B?2LLYqNin2YTZhyDYqtiz2KfYptmEIA==?=</f>
        <v/>
      </c>
      <c r="D102" s="2" t="inlineStr">
        <is>
          <t xml:space="preserve"> ‫أُرسلت من الـ iPhone‬</t>
        </is>
      </c>
      <c r="E102" s="4" t="inlineStr"/>
    </row>
    <row r="103" ht="18" customHeight="1">
      <c r="A103" s="5">
        <f>?UTF-8?B?2YXYrdmF2K8g2K3Ys9mK2YY=?= &lt;hnfhnf71hnf@gmail.com&gt;</f>
        <v/>
      </c>
      <c r="B103" s="6" t="inlineStr">
        <is>
          <t>hnfhnf71hnf@gmail.com</t>
        </is>
      </c>
      <c r="C103" s="5" t="inlineStr"/>
      <c r="D103" s="5" t="inlineStr">
        <is>
          <t xml:space="preserve">لا يعمل </t>
        </is>
      </c>
      <c r="E103" s="7" t="inlineStr"/>
    </row>
    <row r="104" ht="18" customHeight="1">
      <c r="A104" s="2" t="inlineStr">
        <is>
          <t>Ana Me &lt;a7ebny@gmail.com&gt;</t>
        </is>
      </c>
      <c r="B104" s="3" t="inlineStr">
        <is>
          <t>a7ebny@gmail.com</t>
        </is>
      </c>
      <c r="C104" s="2">
        <f>?UTF-8?B?2LnZitio?=</f>
        <v/>
      </c>
      <c r="D104" s="2" t="inlineStr">
        <is>
          <t xml:space="preserve">تم مسح التطبيق لعدم المصداقية </t>
        </is>
      </c>
      <c r="E104" s="4" t="inlineStr"/>
    </row>
    <row r="105" ht="18" customHeight="1">
      <c r="A105" s="5" t="inlineStr">
        <is>
          <t>Kommunicate Support &lt;support@kommunicate.io&gt;</t>
        </is>
      </c>
      <c r="B105" s="6" t="inlineStr">
        <is>
          <t>support@kommunicate.io</t>
        </is>
      </c>
      <c r="C105" s="5" t="inlineStr">
        <is>
          <t>Here is your invoice</t>
        </is>
      </c>
      <c r="D105" s="5" t="inlineStr">
        <is>
          <t>******************** HERE IS YOUR INVOICE ******************** Hey there,  Here is the invoice for your latest payment. If you have questions about this payment, your subscription, or would just like to chat, contact us at any time. .  You can drop your queries to support@kommunicate.io or you can start the chat from your Kommunicate dashboard. We'd love to hear from you.    Invoiced amount $100.00  Amount due $100.00  Status Payment Due    ----  Kommunicate [https://www.kommunicate.io/]Support  PS:  We hope you're enjoying your experience with us! As always, feel free to reach out to us. We'd love to hear from you.</t>
        </is>
      </c>
      <c r="E105" s="7" t="inlineStr"/>
    </row>
    <row r="106" ht="18" customHeight="1">
      <c r="A106" s="2" t="inlineStr">
        <is>
          <t>Maryam AlAwadhi &lt;maryom.al3wadhi@gmail.com&gt;</t>
        </is>
      </c>
      <c r="B106" s="3" t="inlineStr">
        <is>
          <t>maryom.al3wadhi@gmail.com</t>
        </is>
      </c>
      <c r="C106" s="2">
        <f>?UTF-8?B?UmU6INiq2YUg2K3YrNioINin2YTYsdmC2YUg2KfZhNmF2LfZhNmI2Kg=?=</f>
        <v/>
      </c>
      <c r="D106" s="2" t="inlineStr">
        <is>
          <t xml:space="preserve">مازال ظاهر   On Thu, 9 Oct 2025 at 7:09 AM تطبيق منو داق &lt;sales@menodag.com&gt; wrote:  &gt; </t>
        </is>
      </c>
      <c r="E106" s="4" t="inlineStr"/>
    </row>
    <row r="107" ht="18" customHeight="1">
      <c r="A107" s="5" t="inlineStr">
        <is>
          <t>Ana Me &lt;a7ebny@gmail.com&gt;</t>
        </is>
      </c>
      <c r="B107" s="6" t="inlineStr">
        <is>
          <t>a7ebny@gmail.com</t>
        </is>
      </c>
      <c r="C107" s="5">
        <f>?UTF-8?B?UmU6INiq2YUg2K3YrNioINin2YTYsdmC2YUg2KfZhNmF2LfZhNmI2Kg=?=</f>
        <v/>
      </c>
      <c r="D107" s="5" t="inlineStr">
        <is>
          <t xml:space="preserve">ليلحين يطلع  On Wed, 8 Oct 2025, 9:21 pm تطبيق منو داق, &lt;sales@menodag.com&gt; wrote:  &gt; &gt; </t>
        </is>
      </c>
      <c r="E107" s="7" t="inlineStr"/>
    </row>
    <row r="108" ht="18" customHeight="1">
      <c r="A108" s="2">
        <f>?utf-8?B?2YXYsdmK2YUg2KfZhNi52YjYttmK?= &lt;maryomaalawadhi@icloud.com&gt;</f>
        <v/>
      </c>
      <c r="B108" s="3" t="inlineStr">
        <is>
          <t>maryomaalawadhi@icloud.com</t>
        </is>
      </c>
      <c r="C108" s="2">
        <f>?utf-8?B?UmU6INiq2YUg2K3YrNioINin2YTYsdmC2YUg2KfZhNmF2LfZhNmI?=  =?utf-8?B?2Kg=?=</f>
        <v/>
      </c>
      <c r="D108" s="2" t="inlineStr">
        <is>
          <t xml:space="preserve">مازال الرقم ظاهر  Sent from my iPhone  &gt; On 8 Oct 2025, at 9:21 PM, تطبيق منو داق &lt;sales@menodag.com&gt; wrote: &gt;  &gt; ﻿ &gt;  </t>
        </is>
      </c>
      <c r="E108" s="4" t="inlineStr"/>
    </row>
    <row r="109" ht="18" customHeight="1">
      <c r="A109" s="5" t="inlineStr">
        <is>
          <t>Fahad Alrajhi &lt;k800if@icloud.com&gt;</t>
        </is>
      </c>
      <c r="B109" s="6" t="inlineStr">
        <is>
          <t>k800if@icloud.com</t>
        </is>
      </c>
      <c r="C109" s="5">
        <f>?utf-8?B?UmU6INiq2YUg2K3YrNioINin2YTYsdmC2YUg2KfZhNmF2LfZhNmI?=  =?utf-8?B?2Kg=?=</f>
        <v/>
      </c>
      <c r="D109" s="5" t="inlineStr">
        <is>
          <t xml:space="preserve">يا اخي مابي احذف الرقم كامل فقط طلبت حذف واحد من الاسامي لو سمحت ارجاع الرقم وشكرا  Sent from my iPhone  &gt; On 8 Oct 2025, at 9:21 PM, تطبيق منو داق &lt;sales@menodag.com&gt; wrote: &gt;  &gt; ﻿ &gt;  </t>
        </is>
      </c>
      <c r="E109" s="7" t="inlineStr"/>
    </row>
    <row r="110" ht="18" customHeight="1">
      <c r="A110" s="2" t="inlineStr">
        <is>
          <t>Sultan Otibi &lt;Q8og@hotmail.com&gt;</t>
        </is>
      </c>
      <c r="B110" s="3" t="inlineStr">
        <is>
          <t>Q8og@hotmail.com</t>
        </is>
      </c>
      <c r="C110" s="2">
        <f>?utf-8?B?UmU6INiq2YUg2K3YrNioINin2YTYsdmC2YUg2KfZhNmF2LfZhNmI2Kg=?=</f>
        <v/>
      </c>
      <c r="D110" s="2" t="inlineStr">
        <is>
          <t xml:space="preserve">هل تم حجبه على طول ؟  او مؤقت هذا الشيء يهمني ؟ وياليت وضروري مايرجع ينشال الحجب اذا سمحت او يشيل على الاقل الاسماء اللي فيها امور خاصة او متعديه الخصوصية والمذكورة لكم في الايميل السابق واكون شاكر ومقدر لكم  وشكراً ….. ‫أُرسلت من الـ iPhone‬  ‫في 08‏/10‏/2025 الساعة 9:21 م، كتب/كتبت ‏تطبيق منو داق ‏&lt;sales@menodag.com&gt;:‬  ﻿  </t>
        </is>
      </c>
      <c r="E110" s="4" t="inlineStr"/>
    </row>
    <row r="111" ht="18" customHeight="1">
      <c r="A111" s="5" t="inlineStr">
        <is>
          <t>brooo 79 &lt;broo_79@hotmail.com&gt;</t>
        </is>
      </c>
      <c r="B111" s="6" t="inlineStr">
        <is>
          <t>broo_79@hotmail.com</t>
        </is>
      </c>
      <c r="C111" s="5">
        <f>?utf-8?B?UmU6INiq2YUg2K3YrNioINin2YTYsdmC2YUg2KfZhNmF2LfZhNmI2Kg=?=</f>
        <v/>
      </c>
      <c r="D111" s="5" t="inlineStr">
        <is>
          <t xml:space="preserve">الف الف شكر علي تعاونكم الراقي والمثمر ولكم جزيل الشكر ،،، 🌹🌹  On 8 Oct 2025, at 9:21 PM, تطبيق منو داق &lt;sales@menodag.com&gt; wrote:  ﻿  </t>
        </is>
      </c>
      <c r="E111" s="7" t="inlineStr"/>
    </row>
    <row r="112" ht="18" customHeight="1">
      <c r="A112" s="2" t="inlineStr">
        <is>
          <t>Sultan Otibi &lt;Q8og@hotmail.com&gt;</t>
        </is>
      </c>
      <c r="B112" s="3" t="inlineStr">
        <is>
          <t>Q8og@hotmail.com</t>
        </is>
      </c>
      <c r="C112" s="2">
        <f>?utf-8?B?UmU6INiq2YUg2K3YrNioINin2YTYsdmC2YUg2KfZhNmF2LfZhNmI2Kg=?=</f>
        <v/>
      </c>
      <c r="D112" s="2" t="inlineStr">
        <is>
          <t xml:space="preserve">﻿ تم حجبه على طول او مؤقت هذا الشيء يهمني ضروري مايرجع ينشال الحجب اذا سمحت  وشكراً …..  ‫أُرسلت من الـ iPhone‬  ‫في 08‏/10‏/2025 الساعة 9:21 م، كتب/كتبت ‏تطبيق منو داق ‏&lt;sales@menodag.com&gt;:‬  ﻿  </t>
        </is>
      </c>
      <c r="E112" s="4" t="inlineStr"/>
    </row>
    <row r="113" ht="18" customHeight="1">
      <c r="A113" s="5" t="inlineStr">
        <is>
          <t>Sultan Otibi &lt;Q8og@hotmail.com&gt;</t>
        </is>
      </c>
      <c r="B113" s="6" t="inlineStr">
        <is>
          <t>Q8og@hotmail.com</t>
        </is>
      </c>
      <c r="C113" s="5">
        <f>?utf-8?B?UmU6INiq2YUg2K3YrNioINin2YTYsdmC2YUg2KfZhNmF2LfZhNmI2Kg=?=</f>
        <v/>
      </c>
      <c r="D113" s="5" t="inlineStr">
        <is>
          <t xml:space="preserve">تم حجبه على طول او مؤقت هذا الشيء يهمني ضروري مايرجع ينشال الحجب اذا سمحت  وشكراً …..  ‫أُرسلت من الـ iPhone‬  ‫في 08‏/10‏/2025 الساعة 9:21 م، كتب/كتبت ‏تطبيق منو داق ‏&lt;sales@menodag.com&gt;:‬  ﻿  </t>
        </is>
      </c>
      <c r="E113" s="7" t="inlineStr"/>
    </row>
    <row r="114" ht="18" customHeight="1">
      <c r="A114" s="2" t="inlineStr">
        <is>
          <t>"No reply (Distro)" &lt;noreply+noreply@spreedly.com&gt;</t>
        </is>
      </c>
      <c r="B114" s="3" t="inlineStr">
        <is>
          <t>noreply+noreply@spreedly.com</t>
        </is>
      </c>
      <c r="C114" s="2">
        <f>?UTF-8?B?UmU6INiq2YUg2K3YrNioINin2YTYsdmC2YUg2KfZhNmF2LfZhNmI2Kg=?=</f>
        <v/>
      </c>
      <c r="D114" s="2" t="inlineStr">
        <is>
          <t xml:space="preserve">Hello! This inbox is not monitored, please try contacting jordan@spreedly.com. </t>
        </is>
      </c>
      <c r="E114" s="4" t="inlineStr"/>
    </row>
    <row r="115" ht="18" customHeight="1">
      <c r="A115" s="5" t="inlineStr">
        <is>
          <t>GoDaddy &lt;donotreply@godaddy.com&gt;</t>
        </is>
      </c>
      <c r="B115" s="6" t="inlineStr">
        <is>
          <t>donotreply@godaddy.com</t>
        </is>
      </c>
      <c r="C115" s="5" t="inlineStr">
        <is>
          <t>Security Alert: Your one-time sign in code is 027659.</t>
        </is>
      </c>
      <c r="D115" s="5" t="inlineStr">
        <is>
          <t>&lt;!--SUBJECTLINE--&gt;&lt;!DOCTYPE html PUBLIC "-//W3C//DTD XHTML 1.0 Transitional//EN" "https://www.w3.org/TR/xhtml1/DTD/xhtml1-transitional.dtd"&gt;&lt;html xmlns="https://www.w3.org/1999/xhtml" xmlns:v="urn:schemas-microsoft-com:vml"&gt;&lt;head&gt; &lt;meta http-equiv="Content-Type" content="text/html; charset=utf-8"&gt;&lt;meta https-equiv="Content-Type" content="text/html; charset=utf-8"&gt; &lt;!--[if !mso]&gt;&lt;!-- &lt;meta https-equiv="X-UA-Compatible" content="IE=edge" /&gt; &lt;!--&lt;![endif]--&gt; &lt;meta name="viewport" content="width=device-width, initial-scale=1.0"&gt; &lt;meta name="x-apple-disable-message-reformatting"&gt; &lt;title&gt;Security Alert: Your one-time sign in code is 027659.&lt;/title&gt; &lt;style type="text/css"&gt;  	p {margin:0px;margin-bo ...</t>
        </is>
      </c>
      <c r="E115" s="7" t="inlineStr"/>
    </row>
    <row r="116" ht="18" customHeight="1">
      <c r="A116" s="2" t="inlineStr">
        <is>
          <t>GoDaddy &lt;donotreply@godaddy.com&gt;</t>
        </is>
      </c>
      <c r="B116" s="3" t="inlineStr">
        <is>
          <t>donotreply@godaddy.com</t>
        </is>
      </c>
      <c r="C116" s="2" t="inlineStr">
        <is>
          <t>Email Account Activity: New Sign-In detected for your account.</t>
        </is>
      </c>
      <c r="D116" s="2" t="inlineStr">
        <is>
          <t>&lt;!--SUBJECTLINE--&gt;&lt;!DOCTYPE html PUBLIC "-//W3C//DTD XHTML 1.0 Transitional//EN" "https://www.w3.org/TR/xhtml1/DTD/xhtml1-transitional.dtd"&gt;&lt;html xmlns="https://www.w3.org/1999/xhtml" xmlns:v="urn:schemas-microsoft-com:vml"&gt;&lt;head&gt; &lt;meta http-equiv="Content-Type" content="text/html; charset=utf-8"&gt;&lt;meta https-equiv="Content-Type" content="text/html; charset=utf-8"&gt; &lt;!--[if !mso]&gt;&lt;!-- &lt;meta https-equiv="X-UA-Compatible" content="IE=edge" /&gt; &lt;!--&lt;![endif]--&gt; &lt;meta name="viewport" content="width=device-width, initial-scale=1.0"&gt; &lt;meta name="x-apple-disable-message-reformatting"&gt; &lt;title&gt;Email Account Activity: New Sign-In detected for your account.&lt;/title&gt; &lt;style type="text/css"&gt;  	p {margin:0px; ...</t>
        </is>
      </c>
      <c r="E116" s="4" t="inlineStr"/>
    </row>
    <row r="117" ht="18" customHeight="1">
      <c r="A117" s="5" t="inlineStr">
        <is>
          <t>Ana Me &lt;a7ebny@gmail.com&gt;</t>
        </is>
      </c>
      <c r="B117" s="6" t="inlineStr">
        <is>
          <t>a7ebny@gmail.com</t>
        </is>
      </c>
      <c r="C117" s="5">
        <f>?UTF-8?B?2KfYtNiq2LHYp9mD2Yo=?=</f>
        <v/>
      </c>
      <c r="D117" s="5" t="inlineStr">
        <is>
          <t xml:space="preserve">السلام عليكم.. اشتراكي الاخير شريته تاريخ 25/3/2025 ما صار ليش واصلني مسج انه انتهى اليوم؟ </t>
        </is>
      </c>
      <c r="E117" s="7" t="inlineStr"/>
    </row>
    <row r="118" ht="18" customHeight="1">
      <c r="A118" s="2" t="inlineStr">
        <is>
          <t>Sultan Otibi &lt;Q8og@hotmail.com&gt;</t>
        </is>
      </c>
      <c r="B118" s="3" t="inlineStr">
        <is>
          <t>Q8og@hotmail.com</t>
        </is>
      </c>
      <c r="C118" s="2">
        <f>?utf-8?B?2YXZiNi22YjYuSDYttix2YjYsdmK?=</f>
        <v/>
      </c>
      <c r="D118" s="2" t="inlineStr">
        <is>
          <t xml:space="preserve">راسلتكم ولم يتم الرد ارجو الرد في اسرع وقت ممكن  ‫أُرسلت من الـ iPhone‬ </t>
        </is>
      </c>
      <c r="E118" s="4" t="inlineStr"/>
    </row>
    <row r="119" ht="18" customHeight="1">
      <c r="A119" s="5" t="inlineStr">
        <is>
          <t>saad Fares &lt;saaadfares83@gmail.com&gt;</t>
        </is>
      </c>
      <c r="B119" s="6" t="inlineStr">
        <is>
          <t>saaadfares83@gmail.com</t>
        </is>
      </c>
      <c r="C119" s="5">
        <f>?utf-8?B?2YPZitmBINin2LbZitmBINin2LHZgtin2YUg2LnZhtiv2Yog2Lk=?=  =?utf-8?B?2YTZiSDYqNix2YbYp9mF2KzZg9mF?=</f>
        <v/>
      </c>
      <c r="D119" s="5" t="inlineStr">
        <is>
          <t>Hello! How can we help you?    ‫أُرسلت من الـ iPhone‬</t>
        </is>
      </c>
      <c r="E119" s="7" t="inlineStr"/>
    </row>
    <row r="120" ht="18" customHeight="1">
      <c r="A120" s="2" t="inlineStr">
        <is>
          <t>Hadel Mohamd &lt;hadelmohamd72@gmail.com&gt;</t>
        </is>
      </c>
      <c r="B120" s="3" t="inlineStr">
        <is>
          <t>hadelmohamd72@gmail.com</t>
        </is>
      </c>
      <c r="C120" s="2" t="inlineStr"/>
      <c r="D120" s="2" t="inlineStr">
        <is>
          <t xml:space="preserve">أنا مريم </t>
        </is>
      </c>
      <c r="E120" s="4" t="inlineStr"/>
    </row>
    <row r="121" ht="18" customHeight="1">
      <c r="A121" s="5">
        <f>?utf-8?B?2YTZitmE2Ykg2KfZhNio2LHYp9i62YrYq9mK?= &lt;faatnh@yahoo.com&gt;</f>
        <v/>
      </c>
      <c r="B121" s="6" t="inlineStr">
        <is>
          <t>faatnh@yahoo.com</t>
        </is>
      </c>
      <c r="C121" s="5">
        <f>?utf-8?B?2YXZh9mF?=</f>
        <v/>
      </c>
      <c r="D121" s="5" t="inlineStr">
        <is>
          <t>كيف الغي معرفة ماذا الناس امسميني على موبايلهم؟   ‫أُرسلت من الـ iPhone‬</t>
        </is>
      </c>
      <c r="E121" s="7" t="inlineStr"/>
    </row>
    <row r="122" ht="18" customHeight="1">
      <c r="A122" s="2">
        <f>?utf-8?B?2YTZitmE2Ykg2KfZhNio2LHYp9i62YrYq9mK?= &lt;faatnh@yahoo.com&gt;</f>
        <v/>
      </c>
      <c r="B122" s="3" t="inlineStr">
        <is>
          <t>faatnh@yahoo.com</t>
        </is>
      </c>
      <c r="C122" s="2" t="inlineStr"/>
      <c r="D122" s="2" t="inlineStr">
        <is>
          <t>Hello! How can we help you?السلام عليكم      ‫أُرسلت من الـ iPhone‬</t>
        </is>
      </c>
      <c r="E122" s="4" t="inlineStr"/>
    </row>
    <row r="123" ht="18" customHeight="1">
      <c r="A123" s="5" t="inlineStr">
        <is>
          <t>"meme ." &lt;mariam_scc@hotmail.com&gt;</t>
        </is>
      </c>
      <c r="B123" s="6" t="inlineStr">
        <is>
          <t>mariam_scc@hotmail.com</t>
        </is>
      </c>
      <c r="C123" s="5" t="inlineStr"/>
      <c r="D123" s="5" t="inlineStr">
        <is>
          <t xml:space="preserve">Hello! How can we help you?  Report متطفلين حسب بلاغات من بلدك KW :  Sent from my iPhone </t>
        </is>
      </c>
      <c r="E123" s="7" t="inlineStr"/>
    </row>
    <row r="124" ht="18" customHeight="1">
      <c r="A124" s="2" t="inlineStr">
        <is>
          <t>bader alenezi &lt;ffoff44@me.com&gt;</t>
        </is>
      </c>
      <c r="B124" s="3" t="inlineStr">
        <is>
          <t>ffoff44@me.com</t>
        </is>
      </c>
      <c r="C124" s="2" t="inlineStr">
        <is>
          <t>Add My Company</t>
        </is>
      </c>
      <c r="D124" s="2" t="inlineStr">
        <is>
          <t>You are one step away from taking your business to the next level!  Provide us with the following:  Manadatory Fields: Name Arabic. Name English. Website. Phone. Business sector. Optional Fields: Location. Email. Notes.  Notes:  We will review the data provided including the mandatory fields. If all went alright! We will call you to authenticate you and your relation to the mentioned business. This may take up to a week.  Sent from my iPhone</t>
        </is>
      </c>
      <c r="E124" s="4" t="inlineStr"/>
    </row>
    <row r="125" ht="18" customHeight="1">
      <c r="A125" s="5" t="inlineStr">
        <is>
          <t>GoDaddy &lt;donotreply@godaddy.com&gt;</t>
        </is>
      </c>
      <c r="B125" s="6" t="inlineStr">
        <is>
          <t>donotreply@godaddy.com</t>
        </is>
      </c>
      <c r="C125" s="5" t="inlineStr">
        <is>
          <t>Security Alert: Your one-time sign in code is 863208.</t>
        </is>
      </c>
      <c r="D125" s="5" t="inlineStr">
        <is>
          <t>&lt;!--SUBJECTLINE--&gt;&lt;!DOCTYPE html PUBLIC "-//W3C//DTD XHTML 1.0 Transitional//EN" "https://www.w3.org/TR/xhtml1/DTD/xhtml1-transitional.dtd"&gt;&lt;html xmlns="https://www.w3.org/1999/xhtml" xmlns:v="urn:schemas-microsoft-com:vml"&gt;&lt;head&gt; &lt;meta http-equiv="Content-Type" content="text/html; charset=utf-8"&gt;&lt;meta https-equiv="Content-Type" content="text/html; charset=utf-8"&gt; &lt;!--[if !mso]&gt;&lt;!-- &lt;meta https-equiv="X-UA-Compatible" content="IE=edge" /&gt; &lt;!--&lt;![endif]--&gt; &lt;meta name="viewport" content="width=device-width, initial-scale=1.0"&gt; &lt;meta name="x-apple-disable-message-reformatting"&gt; &lt;title&gt;Security Alert: Your one-time sign in code is 863208.&lt;/title&gt; &lt;style type="text/css"&gt;  	p {margin:0px;margin-bo ...</t>
        </is>
      </c>
      <c r="E125" s="7" t="inlineStr"/>
    </row>
    <row r="126" ht="18" customHeight="1">
      <c r="A126" s="2" t="inlineStr">
        <is>
          <t>GoDaddy &lt;donotreply@godaddy.com&gt;</t>
        </is>
      </c>
      <c r="B126" s="3" t="inlineStr">
        <is>
          <t>donotreply@godaddy.com</t>
        </is>
      </c>
      <c r="C126" s="2" t="inlineStr">
        <is>
          <t>Security Alert: Your one-time sign in code is 665008.</t>
        </is>
      </c>
      <c r="D126" s="2" t="inlineStr">
        <is>
          <t>&lt;!--SUBJECTLINE--&gt;&lt;!DOCTYPE html PUBLIC "-//W3C//DTD XHTML 1.0 Transitional//EN" "https://www.w3.org/TR/xhtml1/DTD/xhtml1-transitional.dtd"&gt;&lt;html xmlns="https://www.w3.org/1999/xhtml" xmlns:v="urn:schemas-microsoft-com:vml"&gt;&lt;head&gt; &lt;meta http-equiv="Content-Type" content="text/html; charset=utf-8"&gt;&lt;meta https-equiv="Content-Type" content="text/html; charset=utf-8"&gt; &lt;!--[if !mso]&gt;&lt;!-- &lt;meta https-equiv="X-UA-Compatible" content="IE=edge" /&gt; &lt;!--&lt;![endif]--&gt; &lt;meta name="viewport" content="width=device-width, initial-scale=1.0"&gt; &lt;meta name="x-apple-disable-message-reformatting"&gt; &lt;title&gt;Security Alert: Your one-time sign in code is 665008.&lt;/title&gt; &lt;style type="text/css"&gt;  	p {margin:0px;margin-bo ...</t>
        </is>
      </c>
      <c r="E126" s="4" t="inlineStr"/>
    </row>
    <row r="127" ht="18" customHeight="1">
      <c r="A127" s="5" t="inlineStr">
        <is>
          <t>GoDaddy &lt;donotreply@godaddy.com&gt;</t>
        </is>
      </c>
      <c r="B127" s="6" t="inlineStr">
        <is>
          <t>donotreply@godaddy.com</t>
        </is>
      </c>
      <c r="C127" s="5" t="inlineStr">
        <is>
          <t>Security Alert: Your one-time sign in code is 720573.</t>
        </is>
      </c>
      <c r="D127" s="5" t="inlineStr">
        <is>
          <t>&lt;!--SUBJECTLINE--&gt;&lt;!DOCTYPE html PUBLIC "-//W3C//DTD XHTML 1.0 Transitional//EN" "https://www.w3.org/TR/xhtml1/DTD/xhtml1-transitional.dtd"&gt;&lt;html xmlns="https://www.w3.org/1999/xhtml" xmlns:v="urn:schemas-microsoft-com:vml"&gt;&lt;head&gt; &lt;meta http-equiv="Content-Type" content="text/html; charset=utf-8"&gt;&lt;meta https-equiv="Content-Type" content="text/html; charset=utf-8"&gt; &lt;!--[if !mso]&gt;&lt;!-- &lt;meta https-equiv="X-UA-Compatible" content="IE=edge" /&gt; &lt;!--&lt;![endif]--&gt; &lt;meta name="viewport" content="width=device-width, initial-scale=1.0"&gt; &lt;meta name="x-apple-disable-message-reformatting"&gt; &lt;title&gt;Security Alert: Your one-time sign in code is 720573.&lt;/title&gt; &lt;style type="text/css"&gt;  	p {margin:0px;margin-bo ...</t>
        </is>
      </c>
      <c r="E127" s="7" t="inlineStr"/>
    </row>
    <row r="128" ht="18" customHeight="1">
      <c r="A128" s="2" t="inlineStr">
        <is>
          <t>GoDaddy &lt;donotreply@godaddy.com&gt;</t>
        </is>
      </c>
      <c r="B128" s="3" t="inlineStr">
        <is>
          <t>donotreply@godaddy.com</t>
        </is>
      </c>
      <c r="C128" s="2" t="inlineStr">
        <is>
          <t>Security Alert: Your one-time sign in code is 633470.</t>
        </is>
      </c>
      <c r="D128" s="2" t="inlineStr">
        <is>
          <t>&lt;!--SUBJECTLINE--&gt;&lt;!DOCTYPE html PUBLIC "-//W3C//DTD XHTML 1.0 Transitional//EN" "https://www.w3.org/TR/xhtml1/DTD/xhtml1-transitional.dtd"&gt;&lt;html xmlns="https://www.w3.org/1999/xhtml" xmlns:v="urn:schemas-microsoft-com:vml"&gt;&lt;head&gt; &lt;meta http-equiv="Content-Type" content="text/html; charset=utf-8"&gt;&lt;meta https-equiv="Content-Type" content="text/html; charset=utf-8"&gt; &lt;!--[if !mso]&gt;&lt;!-- &lt;meta https-equiv="X-UA-Compatible" content="IE=edge" /&gt; &lt;!--&lt;![endif]--&gt; &lt;meta name="viewport" content="width=device-width, initial-scale=1.0"&gt; &lt;meta name="x-apple-disable-message-reformatting"&gt; &lt;title&gt;Security Alert: Your one-time sign in code is 633470.&lt;/title&gt; &lt;style type="text/css"&gt;  	p {margin:0px;margin-bo ...</t>
        </is>
      </c>
      <c r="E128" s="4" t="inlineStr"/>
    </row>
    <row r="129" ht="18" customHeight="1">
      <c r="A129" s="5" t="inlineStr">
        <is>
          <t>GoDaddy &lt;donotreply@godaddy.com&gt;</t>
        </is>
      </c>
      <c r="B129" s="6" t="inlineStr">
        <is>
          <t>donotreply@godaddy.com</t>
        </is>
      </c>
      <c r="C129" s="5" t="inlineStr">
        <is>
          <t>Email Account Activity: New Sign-In detected for your account.</t>
        </is>
      </c>
      <c r="D129" s="5" t="inlineStr">
        <is>
          <t>&lt;!--SUBJECTLINE--&gt;&lt;!DOCTYPE html PUBLIC "-//W3C//DTD XHTML 1.0 Transitional//EN" "https://www.w3.org/TR/xhtml1/DTD/xhtml1-transitional.dtd"&gt;&lt;html xmlns="https://www.w3.org/1999/xhtml" xmlns:v="urn:schemas-microsoft-com:vml"&gt;&lt;head&gt; &lt;meta http-equiv="Content-Type" content="text/html; charset=utf-8"&gt;&lt;meta https-equiv="Content-Type" content="text/html; charset=utf-8"&gt; &lt;!--[if !mso]&gt;&lt;!-- &lt;meta https-equiv="X-UA-Compatible" content="IE=edge" /&gt; &lt;!--&lt;![endif]--&gt; &lt;meta name="viewport" content="width=device-width, initial-scale=1.0"&gt; &lt;meta name="x-apple-disable-message-reformatting"&gt; &lt;title&gt;Email Account Activity: New Sign-In detected for your account.&lt;/title&gt; &lt;style type="text/css"&gt;  	p {margin:0px; ...</t>
        </is>
      </c>
      <c r="E129" s="7" t="inlineStr"/>
    </row>
    <row r="130" ht="18" customHeight="1">
      <c r="A130" s="2" t="inlineStr">
        <is>
          <t>hussain alshatti &lt;hsn1050@icloud.com&gt;</t>
        </is>
      </c>
      <c r="B130" s="3" t="inlineStr">
        <is>
          <t>hsn1050@icloud.com</t>
        </is>
      </c>
      <c r="C130" s="2" t="inlineStr"/>
      <c r="D130" s="2" t="inlineStr">
        <is>
          <t>Hello! How can we help you?  Report متطفلين حسب بلاغات من بلدك KW :   Sent from my iPhone</t>
        </is>
      </c>
      <c r="E130" s="4" t="inlineStr"/>
    </row>
    <row r="131" ht="18" customHeight="1">
      <c r="A131" s="5" t="inlineStr">
        <is>
          <t>Mohamed Abu salim &lt;mohamedabusalim271@gmail.com&gt;</t>
        </is>
      </c>
      <c r="B131" s="6" t="inlineStr">
        <is>
          <t>mohamedabusalim271@gmail.com</t>
        </is>
      </c>
      <c r="C131" s="5">
        <f>?UTF-8?B?2LfZhNioINit2LDZgSDYsdmC2YU1NTAzMTMwMA==?=</f>
        <v/>
      </c>
      <c r="D131" s="5" t="inlineStr">
        <is>
          <t xml:space="preserve">الاسم غير لائق </t>
        </is>
      </c>
      <c r="E131" s="7" t="inlineStr"/>
    </row>
    <row r="132" ht="18" customHeight="1">
      <c r="A132" s="2" t="inlineStr">
        <is>
          <t>Mohamed Abu salim &lt;mohamedabusalim271@gmail.com&gt;</t>
        </is>
      </c>
      <c r="B132" s="3" t="inlineStr">
        <is>
          <t>mohamedabusalim271@gmail.com</t>
        </is>
      </c>
      <c r="C132" s="2">
        <f>?UTF-8?B?2LfZhNioINit2LDZgSDYsdmC2YU1NTAzMTMwMA==?=</f>
        <v/>
      </c>
      <c r="D132" s="2" t="inlineStr">
        <is>
          <t xml:space="preserve">غير لاث </t>
        </is>
      </c>
      <c r="E132" s="4" t="inlineStr"/>
    </row>
    <row r="133" ht="18" customHeight="1">
      <c r="A133" s="5" t="inlineStr">
        <is>
          <t>S O &lt;sb775@hotmail.com&gt;</t>
        </is>
      </c>
      <c r="B133" s="6" t="inlineStr">
        <is>
          <t>sb775@hotmail.com</t>
        </is>
      </c>
      <c r="C133" s="5">
        <f>?utf-8?B?2YjZitmGINiv2LnZhSDYp9mE2LnZhdmE2KfYoSDZhNin2YrZiNis2K8g2LE=?=  =?utf-8?B?2K8g?=</f>
        <v/>
      </c>
      <c r="D133" s="5" t="inlineStr">
        <is>
          <t xml:space="preserve">﻿ ﻿  Hello! How can we help you?  وين دعم العملاء لايوجد رد ارسلت لكم اكثر من مرة و عن طريق ايميلين ‫أُرسلت من الـ iPhone‬  ‫أُرسلت من الـ iPhone‬ </t>
        </is>
      </c>
      <c r="E133" s="7" t="inlineStr"/>
    </row>
    <row r="134" ht="18" customHeight="1">
      <c r="A134" s="2" t="inlineStr">
        <is>
          <t>S O &lt;sb775@hotmail.com&gt;</t>
        </is>
      </c>
      <c r="B134" s="3" t="inlineStr">
        <is>
          <t>sb775@hotmail.com</t>
        </is>
      </c>
      <c r="C134" s="2">
        <f>?utf-8?B?2YjZitmGINiv2LnZhSDYp9mE2LnZhdmE2KfYoSDZhNin2YrZiNis2K8g2LE=?=  =?utf-8?B?2K8g?=</f>
        <v/>
      </c>
      <c r="D134" s="2" t="inlineStr">
        <is>
          <t xml:space="preserve">وين دعم العملاء لايوجد رد ارسلت لكم اكثر من ايميل محد رد علي ارجو الرد لضرورة ‫أُرسلت من الـ iPhone‬ </t>
        </is>
      </c>
      <c r="E134" s="4" t="inlineStr"/>
    </row>
    <row r="135" ht="18" customHeight="1">
      <c r="A135" s="5" t="inlineStr">
        <is>
          <t>Maryam AlAwadhi &lt;maryom.al3wadhi@gmail.com&gt;</t>
        </is>
      </c>
      <c r="B135" s="6" t="inlineStr">
        <is>
          <t>maryom.al3wadhi@gmail.com</t>
        </is>
      </c>
      <c r="C135" s="5">
        <f>?UTF-8?B?UmU6INmF2K7Yp9mE2YHYqSDYrti12YjYtdmK2Yc=?=</f>
        <v/>
      </c>
      <c r="D135" s="5" t="inlineStr">
        <is>
          <t xml:space="preserve">On Fri, 3 Oct 2025 at 11:01 PM Maryam AlAwadhi &lt;maryom.al3wadhi@gmail.com&gt; wrote:  &gt; عفوا البرنامج موضح اسمي الكامل مع عنوان البيت والرقم المدني هذي خصوصيه &gt; شلون تنعرض </t>
        </is>
      </c>
      <c r="E135" s="7" t="inlineStr"/>
    </row>
    <row r="136" ht="18" customHeight="1">
      <c r="A136" s="2" t="inlineStr">
        <is>
          <t>Gmc Gmc &lt;gmc45484@gmail.com&gt;</t>
        </is>
      </c>
      <c r="B136" s="3" t="inlineStr">
        <is>
          <t>gmc45484@gmail.com</t>
        </is>
      </c>
      <c r="C136" s="2">
        <f>?utf-8?B?2LPZhNin2YUg2LnZhNmK2YPZhSDYp9io2Yog2KfYtNmK2YQg2LE=?=  =?utf-8?B?2YLZhdmKINmF2YYg2KfZhNio2K3YqyA=?=</f>
        <v/>
      </c>
      <c r="D136" s="2" t="inlineStr">
        <is>
          <t>Hello! How can we help you?   ‫أُرسلت من الـ iPhone‬</t>
        </is>
      </c>
      <c r="E136" s="4" t="inlineStr"/>
    </row>
    <row r="137" ht="18" customHeight="1">
      <c r="A137" s="5" t="inlineStr">
        <is>
          <t>Gmc Gmc &lt;gmc45484@gmail.com&gt;</t>
        </is>
      </c>
      <c r="B137" s="6" t="inlineStr">
        <is>
          <t>gmc45484@gmail.com</t>
        </is>
      </c>
      <c r="C137" s="5" t="inlineStr"/>
      <c r="D137" s="5" t="inlineStr">
        <is>
          <t>Hello! How can we help you?   ‫أُرسلت من الـ iPhone‬</t>
        </is>
      </c>
      <c r="E137" s="7" t="inlineStr"/>
    </row>
    <row r="138" ht="18" customHeight="1">
      <c r="A138" s="2" t="inlineStr">
        <is>
          <t>Microsoft Security &lt;MSSecurity-noreply@microsoft.com&gt;</t>
        </is>
      </c>
      <c r="B138" s="3" t="inlineStr">
        <is>
          <t>MSSecurity-noreply@microsoft.com</t>
        </is>
      </c>
      <c r="C138" s="2" t="inlineStr">
        <is>
          <t>New recommendation available for menodag.com</t>
        </is>
      </c>
      <c r="D138" s="2" t="inlineStr"/>
      <c r="E138" s="4" t="inlineStr"/>
    </row>
    <row r="139" ht="18" customHeight="1">
      <c r="A139" s="5" t="inlineStr">
        <is>
          <t>Microsoft Security &lt;MSSecurity-noreply@microsoft.com&gt;</t>
        </is>
      </c>
      <c r="B139" s="6" t="inlineStr">
        <is>
          <t>MSSecurity-noreply@microsoft.com</t>
        </is>
      </c>
      <c r="C139" s="5" t="inlineStr">
        <is>
          <t>New recommendation available for menodag.com</t>
        </is>
      </c>
      <c r="D139" s="5" t="inlineStr"/>
      <c r="E139" s="7" t="inlineStr"/>
    </row>
    <row r="140" ht="18" customHeight="1">
      <c r="A140" s="2" t="inlineStr">
        <is>
          <t>Microsoft Security &lt;MSSecurity-noreply@microsoft.com&gt;</t>
        </is>
      </c>
      <c r="B140" s="3" t="inlineStr">
        <is>
          <t>MSSecurity-noreply@microsoft.com</t>
        </is>
      </c>
      <c r="C140" s="2" t="inlineStr">
        <is>
          <t>New recommendation available for menodag.com</t>
        </is>
      </c>
      <c r="D140" s="2" t="inlineStr"/>
      <c r="E140" s="4" t="inlineStr"/>
    </row>
    <row r="141" ht="18" customHeight="1">
      <c r="A141" s="5" t="inlineStr">
        <is>
          <t>moon heart &lt;heart_moon128@hotmail.com&gt;</t>
        </is>
      </c>
      <c r="B141" s="6" t="inlineStr">
        <is>
          <t>heart_moon128@hotmail.com</t>
        </is>
      </c>
      <c r="C141" s="5">
        <f>?utf-8?B?2LfZhNioINit2LDZgSDYsdmC2YU=?=</f>
        <v/>
      </c>
      <c r="D141" s="5" t="inlineStr">
        <is>
          <t xml:space="preserve">اريد حذف اسم مسجل على رقمي لانه سببلي مشاكل كثيرة !!  في شخص مجهول كان يبحث لي عن شقة للايجار وحفظ رقمي باسم ( تبي شقة ) والموضوع مفهوم بشكل خاطيء تماماً ارجو مسحه !! </t>
        </is>
      </c>
      <c r="E141" s="7" t="inlineStr"/>
    </row>
    <row r="142" ht="18" customHeight="1">
      <c r="A142" s="2" t="inlineStr">
        <is>
          <t>Mubarak Alajmi &lt;nassay88@gmail.com&gt;</t>
        </is>
      </c>
      <c r="B142" s="3" t="inlineStr">
        <is>
          <t>nassay88@gmail.com</t>
        </is>
      </c>
      <c r="C142" s="2">
        <f>?UTF-8?B?2YjYp9it2K8g2YXYs9is2YQg2LHZgtmF2Yog2KjZitin2Lkg?=</f>
        <v/>
      </c>
      <c r="D142" s="2" t="inlineStr">
        <is>
          <t>&lt;meta http-equiv="Content-Type" content="text/html; charset=utf-8"&gt;&lt;div dir="auto"&gt;&lt;br&gt;&lt;br&gt;&lt;br&gt;&lt;br&gt;وانا انسان معلم وجدت محترم اتمنى اتخاذ اللازم حجب&lt;br&gt;&lt;div style="direction:rtl;unicode-bidi:embed"&gt;&lt;div&gt;&amp;nbsp;هذا الاسم وشكرا مُرسلة من هاتفي&lt;/div&gt;&lt;/div&gt;&lt;/div&gt;</t>
        </is>
      </c>
      <c r="E142" s="4" t="inlineStr"/>
    </row>
    <row r="143" ht="18" customHeight="1">
      <c r="A143" s="5">
        <f>?utf-8?B?2YXYsdmK2YUg2KfZhNi52YjYttmK?= &lt;maryomaalawadhi@icloud.com&gt;</f>
        <v/>
      </c>
      <c r="B143" s="6" t="inlineStr">
        <is>
          <t>maryomaalawadhi@icloud.com</t>
        </is>
      </c>
      <c r="C143" s="5" t="inlineStr">
        <is>
          <t xml:space="preserve">Personal information </t>
        </is>
      </c>
      <c r="D143" s="5" t="inlineStr">
        <is>
          <t>Hello! How can we help you?THA APPLICATION SHOWS MY FULL NAME FULL ADRESS AND MY CIVIL ID NUMBER  Sent from my iPhone</t>
        </is>
      </c>
      <c r="E143" s="7" t="inlineStr"/>
    </row>
    <row r="144" ht="18" customHeight="1">
      <c r="A144" s="2" t="inlineStr">
        <is>
          <t>omar ahmed &lt;omar1ooo@yahoo.com&gt;</t>
        </is>
      </c>
      <c r="B144" s="3" t="inlineStr">
        <is>
          <t>omar1ooo@yahoo.com</t>
        </is>
      </c>
      <c r="C144" s="2">
        <f>?utf-8?B?2LfZhNioINit2LDZgSDYsdmC2YU=?=</f>
        <v/>
      </c>
      <c r="D144" s="2" t="inlineStr">
        <is>
          <t>هناك عنوان المنزل الخاص في احد الارقام المسجله ‫أُرسلت من الـ iPhone‬</t>
        </is>
      </c>
      <c r="E144" s="4" t="inlineStr"/>
    </row>
    <row r="145" ht="18" customHeight="1">
      <c r="A145" s="5">
        <f>?utf-8?B?2KjZiCDYrdmF2K8=?= &lt;bo1hamd56@gmail.com&gt;</f>
        <v/>
      </c>
      <c r="B145" s="6" t="inlineStr">
        <is>
          <t>bo1hamd56@gmail.com</t>
        </is>
      </c>
      <c r="C145" s="5" t="inlineStr">
        <is>
          <t>Add My Company</t>
        </is>
      </c>
      <c r="D145" s="5" t="inlineStr">
        <is>
          <t>CBCSofra .  Website. Phone. Business sector. Optional Fields: Location. Email. Notes.  Notes:  We will review the data provided including the mandatory fields. If all went alright! We will call you to authenticate you and your relation to the mentioned business. This may take up to a week.   ‫أُرسلت من الـ iPhone‬</t>
        </is>
      </c>
      <c r="E145" s="7" t="inlineStr"/>
    </row>
    <row r="146" ht="18" customHeight="1">
      <c r="A146" s="2" t="inlineStr">
        <is>
          <t>Maryam AlAwadhi &lt;maryom.al3wadhi@gmail.com&gt;</t>
        </is>
      </c>
      <c r="B146" s="3" t="inlineStr">
        <is>
          <t>maryom.al3wadhi@gmail.com</t>
        </is>
      </c>
      <c r="C146" s="2">
        <f>?UTF-8?B?2YXYrtin2YTZgdipINiu2LXZiNi12YrZhw==?=</f>
        <v/>
      </c>
      <c r="D146" s="2" t="inlineStr">
        <is>
          <t xml:space="preserve">عفوا البرنامج موضح اسمي الكامل مع عنوان البيت والرقم المدني هذي خصوصيه شلون تنعرض </t>
        </is>
      </c>
      <c r="E146" s="4" t="inlineStr"/>
    </row>
    <row r="147" ht="18" customHeight="1">
      <c r="A147" s="5" t="inlineStr">
        <is>
          <t>Wadha Almutairi &lt;wkalmutairi@gmail.com&gt;</t>
        </is>
      </c>
      <c r="B147" s="6" t="inlineStr">
        <is>
          <t>wkalmutairi@gmail.com</t>
        </is>
      </c>
      <c r="C147" s="5">
        <f>?utf-8?B?2YXYsdiq2YrZhiDYr9in2YHYudmHIA==?=</f>
        <v/>
      </c>
      <c r="D147" s="5" t="inlineStr">
        <is>
          <t xml:space="preserve">السلام عليكم  شهر 3 مجدده ودزيتوا اليوم اشتراكك انتهى شلون؟       </t>
        </is>
      </c>
      <c r="E147" s="7" t="inlineStr"/>
    </row>
    <row r="148" ht="18" customHeight="1">
      <c r="A148" s="2" t="inlineStr">
        <is>
          <t>ABDULLAH K &lt;ffoxyy@icloud.com&gt;</t>
        </is>
      </c>
      <c r="B148" s="3" t="inlineStr">
        <is>
          <t>ffoxyy@icloud.com</t>
        </is>
      </c>
      <c r="C148" s="2">
        <f>?utf-8?B?2YfYp9mD2LHYsg==?=</f>
        <v/>
      </c>
      <c r="D148" s="2" t="inlineStr">
        <is>
          <t>Hello! How can we help you?  Report متطفلين حسب بلاغات من بلدك KW :   ‫أُرسلت من الـ iPhone‬</t>
        </is>
      </c>
      <c r="E148" s="4" t="inlineStr"/>
    </row>
    <row r="149" ht="18" customHeight="1">
      <c r="A149" s="5" t="inlineStr">
        <is>
          <t>ABDULLAH K &lt;ffoxyy@icloud.com&gt;</t>
        </is>
      </c>
      <c r="B149" s="6" t="inlineStr">
        <is>
          <t>ffoxyy@icloud.com</t>
        </is>
      </c>
      <c r="C149" s="5" t="inlineStr"/>
      <c r="D149" s="5" t="inlineStr">
        <is>
          <t>Hello! How can we help you?  Report هاكرز حسب بلاغات من بلدك KW :   ‫أُرسلت من الـ iPhone‬</t>
        </is>
      </c>
      <c r="E149" s="7" t="inlineStr"/>
    </row>
    <row r="150" ht="18" customHeight="1">
      <c r="A150" s="2" t="inlineStr">
        <is>
          <t>Bader &lt;bader.n.alenezi@gmail.com&gt;</t>
        </is>
      </c>
      <c r="B150" s="3" t="inlineStr">
        <is>
          <t>bader.n.alenezi@gmail.com</t>
        </is>
      </c>
      <c r="C150" s="2">
        <f>?utf-8?B?2YrYsdis2Ykg2KfZhNit2LDZgQ==?=</f>
        <v/>
      </c>
      <c r="D150" s="2" t="inlineStr"/>
      <c r="E150" s="4" t="inlineStr"/>
    </row>
    <row r="151" ht="18" customHeight="1">
      <c r="A151" s="5">
        <f>?UTF-8?B?0JDQu9GW0L3QsCDQmtGD0LfRjNC80LXQvdC60L4=?= &lt;kuzmenkoalina774@gmail.com&gt;</f>
        <v/>
      </c>
      <c r="B151" s="6" t="inlineStr">
        <is>
          <t>kuzmenkoalina774@gmail.com</t>
        </is>
      </c>
      <c r="C151" s="5" t="inlineStr">
        <is>
          <t>Invitation to partnership on Google Play</t>
        </is>
      </c>
      <c r="D151" s="5" t="inlineStr">
        <is>
          <t xml:space="preserve">We’re inviting you to partner with us on Google Play. The offer is simple: publish our app and receive $70 every week. All further details will be provided by our manager. Please share your contacts if you’d like to proceed. </t>
        </is>
      </c>
      <c r="E151" s="7" t="inlineStr"/>
    </row>
    <row r="152" ht="18" customHeight="1">
      <c r="A152" s="2" t="inlineStr">
        <is>
          <t>New Day86 &lt;nday6364@gmail.com&gt;</t>
        </is>
      </c>
      <c r="B152" s="3" t="inlineStr">
        <is>
          <t>nday6364@gmail.com</t>
        </is>
      </c>
      <c r="C152" s="2" t="inlineStr"/>
      <c r="D152" s="2" t="inlineStr">
        <is>
          <t> </t>
        </is>
      </c>
      <c r="E152" s="4" t="inlineStr"/>
    </row>
    <row r="153" ht="18" customHeight="1">
      <c r="A153" s="5" t="inlineStr">
        <is>
          <t>"The Spreedly Team" &lt;noreply@spreedly.com&gt;</t>
        </is>
      </c>
      <c r="B153" s="6" t="inlineStr">
        <is>
          <t>noreply@spreedly.com</t>
        </is>
      </c>
      <c r="C153" s="5">
        <f>?UTF-8?B?VGhlIFNwcmVlZGx5IE5ld3NsZXR0ZXIg4oCTIFNlcHRlbWJlciBF?=  =?UTF-8?B?ZGl0aW9u?=</f>
        <v/>
      </c>
      <c r="D153" s="5" t="inlineStr">
        <is>
          <t xml:space="preserve"> 									Welcome to the September edition of the Spreedly Newsletter   Welcome to the September edition of the Spreedly Newsletter.   September has been an exciting month at Spreedly! We’re thrilled to share that Dodgeball has joined the Spreedly family, bringing AI-powered fraud orchestration to help you protect your payments and make smarter decisions.  Our team also had a fantastic time connecting with the payment leaders at PaymentsFN, celebrating a successful event full of insights and conversations.   Read on for the latest updates, product news, and ways we’re helping you get more out of your payments stack.  									   									In Case You Missed It: Spreedly Acquires Dodgeball  On ...</t>
        </is>
      </c>
      <c r="E153"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2026-04-12T17:34:58Z</dcterms:created>
  <dcterms:modified xsi:type="dcterms:W3CDTF">2026-04-12T17:34:58Z</dcterms:modified>
</cp:coreProperties>
</file>