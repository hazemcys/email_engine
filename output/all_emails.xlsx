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patternFill>
    </fill>
    <fill>
      <patternFill patternType="solid">
        <fgColor rgb="00EDF4FC"/>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right" vertical="center"/>
    </xf>
    <xf numFmtId="0" fontId="2" fillId="3" borderId="0" applyAlignment="1" pivotButton="0" quotePrefix="0" xfId="0">
      <alignment horizontal="left" vertical="center"/>
    </xf>
    <xf numFmtId="49" fontId="2" fillId="3" borderId="0" applyAlignment="1" pivotButton="0" quotePrefix="0" xfId="0">
      <alignment horizontal="center" vertical="center"/>
    </xf>
    <xf numFmtId="0" fontId="2" fillId="4" borderId="0" applyAlignment="1" pivotButton="0" quotePrefix="0" xfId="0">
      <alignment horizontal="right" vertical="center"/>
    </xf>
    <xf numFmtId="0" fontId="2" fillId="4" borderId="0" applyAlignment="1" pivotButton="0" quotePrefix="0" xfId="0">
      <alignment horizontal="left" vertical="center"/>
    </xf>
    <xf numFmtId="49" fontId="2"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67"/>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68" customWidth="1" min="4" max="4"/>
    <col width="25" customWidth="1" min="5" max="5"/>
  </cols>
  <sheetData>
    <row r="1" ht="22" customHeight="1">
      <c r="A1" s="1" t="inlineStr">
        <is>
          <t>sender_id</t>
        </is>
      </c>
      <c r="B1" s="1" t="inlineStr">
        <is>
          <t>sender_email</t>
        </is>
      </c>
      <c r="C1" s="1" t="inlineStr">
        <is>
          <t>title</t>
        </is>
      </c>
      <c r="D1" s="1" t="inlineStr">
        <is>
          <t>body</t>
        </is>
      </c>
      <c r="E1" s="1" t="inlineStr">
        <is>
          <t>phones</t>
        </is>
      </c>
    </row>
    <row r="2" ht="18" customHeight="1">
      <c r="A2" s="2" t="inlineStr">
        <is>
          <t>al_hayooof@hotmail.com</t>
        </is>
      </c>
      <c r="B2" s="3" t="inlineStr">
        <is>
          <t>al_hayooof@hotmail.com</t>
        </is>
      </c>
      <c r="C2" s="2" t="inlineStr"/>
      <c r="D2"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2" s="4" t="inlineStr"/>
    </row>
    <row r="3" ht="18" customHeight="1">
      <c r="A3" s="5" t="inlineStr">
        <is>
          <t>Hadeel Edan &lt;hadeeledan918@gmail.com&gt;</t>
        </is>
      </c>
      <c r="B3" s="6" t="inlineStr">
        <is>
          <t>hadeeledan918@gmail.com</t>
        </is>
      </c>
      <c r="C3" s="5" t="inlineStr">
        <is>
          <t>My address</t>
        </is>
      </c>
      <c r="D3" s="5" t="inlineStr">
        <is>
          <t xml:space="preserve">Hello! How can we help you?  Report ز الزهراء ق 6 ش 607 م 45 : 99031145  My address is shown </t>
        </is>
      </c>
      <c r="E3" s="7" t="inlineStr">
        <is>
          <t>99031145</t>
        </is>
      </c>
    </row>
    <row r="4" ht="18" customHeight="1">
      <c r="A4" s="2" t="inlineStr">
        <is>
          <t>Jawad Alkazmi &lt;jjalkazmi@gmail.com&gt;</t>
        </is>
      </c>
      <c r="B4" s="3" t="inlineStr">
        <is>
          <t>jjalkazmi@gmail.com</t>
        </is>
      </c>
      <c r="C4" s="2">
        <f>?UTF-8?B?2LPZhNin2YUg2LnZhNmK2YPZhSDYudmF2YTYqiDYrtiv2YXYqSDYqNmE2YjZgyDZiNiv?= 	=?UTF-8?B?2YHYudiqINmmINiv2YbYp9mG2YrYsSDZhNin2YHYp9is2KYg2KfZhiDYtdin2K3YqNmKINio2KzYqNmG?= 	=?UTF-8?B?2KjZiiDZitmD2LTZgSDYsdmC2YXZiiAuLi4uLi7Yn9if2J/YnyDZhdin2YTYudmF2YQ=?=</f>
        <v/>
      </c>
      <c r="D4" s="2" t="inlineStr">
        <is>
          <t> </t>
        </is>
      </c>
      <c r="E4" s="4" t="inlineStr"/>
    </row>
    <row r="5" ht="18" customHeight="1">
      <c r="A5" s="5" t="inlineStr">
        <is>
          <t>a al3skr &lt;a.al3skr@hotmail.com&gt;</t>
        </is>
      </c>
      <c r="B5" s="6" t="inlineStr">
        <is>
          <t>a.al3skr@hotmail.com</t>
        </is>
      </c>
      <c r="C5" s="5">
        <f>?utf-8?B?2KjZhNmI2YM=?=</f>
        <v/>
      </c>
      <c r="D5" s="5" t="inlineStr">
        <is>
          <t xml:space="preserve">السلام عليكم  دفعت رسوم بلوك ولم يتم عمل البلوك لرقمي يرجى تفعيل البلوك على رقمي باسرع وقت ممكن على الرقم 55664468  ‫أُرسلت من الـ iPhone‬ </t>
        </is>
      </c>
      <c r="E5" s="7" t="inlineStr">
        <is>
          <t>55664468</t>
        </is>
      </c>
    </row>
    <row r="6" ht="18" customHeight="1">
      <c r="A6" s="2" t="inlineStr">
        <is>
          <t>al_hayooof@hotmail.com</t>
        </is>
      </c>
      <c r="B6" s="3" t="inlineStr">
        <is>
          <t>al_hayooof@hotmail.com</t>
        </is>
      </c>
      <c r="C6" s="2" t="inlineStr"/>
      <c r="D6" s="2" t="inlineStr">
        <is>
          <t>&lt;meta http-equiv="Content-Type" content="text/html; charset=utf-8"&gt;&lt;div dir="auto"&gt;السلام عليكم&lt;div dir="auto"&gt;يعطيكم العافيه،،،&amp;nbsp;&lt;/div&gt;&lt;div dir="auto"&gt;&lt;br&gt;&lt;/div&gt;&lt;div dir="auto"&gt;عفوا منو معطيكم الحق تحطون رقم تلفوني بالبرنامج؟؟&amp;nbsp;&lt;/div&gt;&lt;div dir="auto"&gt;وعلى أي أساس؟؟&lt;/div&gt;&lt;div dir="auto"&gt;&lt;br&gt;&lt;/div&gt;&lt;div dir="auto"&gt;هل انتوا تتعاملون مع شركات الاتصالات بنشر اسماء وأرقام الناس بدون إذن مسبقة من صاحب العلاقه؟؟&lt;/div&gt;&lt;/div&gt;</t>
        </is>
      </c>
      <c r="E6" s="4" t="inlineStr"/>
    </row>
    <row r="7" ht="18" customHeight="1">
      <c r="A7" s="5" t="inlineStr">
        <is>
          <t>alasas@gmx.com</t>
        </is>
      </c>
      <c r="B7" s="6" t="inlineStr">
        <is>
          <t>alasas@gmx.com</t>
        </is>
      </c>
      <c r="C7" s="5">
        <f>?utf-8?B?2KfZhNix2KzYp9ihINin2YTYutin2KEg2YjYrdiw2YEg2KfZhNin?=  =?utf-8?B?2LPZhSDZhdmGINiz2KzZhNin2Kog2KfZhNio2LHZhtin2YXYrA==?=</f>
        <v/>
      </c>
      <c r="D7" s="5" t="inlineStr">
        <is>
          <t>Hello! How can we help you?  Report امام النادي- : 51011133  الرجاء الغاء وحذف الاسم من سجلات البرنامج ‫أُرسلت من الـ iPhone‬</t>
        </is>
      </c>
      <c r="E7" s="7" t="inlineStr">
        <is>
          <t>51011133</t>
        </is>
      </c>
    </row>
    <row r="8" ht="18" customHeight="1">
      <c r="A8" s="2" t="inlineStr">
        <is>
          <t>alasas@gmx.com</t>
        </is>
      </c>
      <c r="B8" s="3" t="inlineStr">
        <is>
          <t>alasas@gmx.com</t>
        </is>
      </c>
      <c r="C8" s="2">
        <f>?utf-8?B?2KfZhNix2KzYp9ihINin2YTYutin2KEg2YjYrdiw2YEg2KfZhNin?=  =?utf-8?B?2LPZhSDZhdmGINiz2KzZhNin2Kog2KfZhNio2LHZhtin2YXYrA==?=</f>
        <v/>
      </c>
      <c r="D8" s="2" t="inlineStr">
        <is>
          <t>Hello! How can we help you?  Report أمام مسجد النادي أبوعبدالعزيز-أحمد عبدالهادي : 51011133  الرجاء الغاء وحذف الاسم من سجلات البرنامج ‫أُرسلت من الـ iPhone‬</t>
        </is>
      </c>
      <c r="E8" s="4" t="inlineStr">
        <is>
          <t>51011133</t>
        </is>
      </c>
    </row>
    <row r="9" ht="18" customHeight="1">
      <c r="A9" s="5">
        <f>?utf-8?B?2KfZhNiu2KfZhNiv2Yog8J+MuQ==?= &lt;f-1-u@hotmail.com&gt;</f>
        <v/>
      </c>
      <c r="B9" s="6" t="inlineStr">
        <is>
          <t>f-1-u@hotmail.com</t>
        </is>
      </c>
      <c r="C9" s="5">
        <f>?utf-8?B?2KfYs9mFINmF2LPZitihINmE2Yog?=</f>
        <v/>
      </c>
      <c r="D9" s="5" t="inlineStr">
        <is>
          <t xml:space="preserve">Hello! How can we help you?  Report علي الخالدي سكاليد 4200 عارضه انستقرام 2007 انستقر : 51511454  ‫أُرسلت من الـ iPhone‬ </t>
        </is>
      </c>
      <c r="E9" s="7" t="inlineStr">
        <is>
          <t>51511454</t>
        </is>
      </c>
    </row>
    <row r="10" ht="18" customHeight="1">
      <c r="A10" s="2" t="inlineStr">
        <is>
          <t>E &lt;ttotanaa@gmail.com&gt;</t>
        </is>
      </c>
      <c r="B10" s="3" t="inlineStr">
        <is>
          <t>ttotanaa@gmail.com</t>
        </is>
      </c>
      <c r="C10" s="2" t="inlineStr"/>
      <c r="D10" s="2" t="inlineStr">
        <is>
          <t xml:space="preserve">اشتركت بالابلكيشن لحذف رقمي وألقاه ببحث قوقل الاسم والرقم كامل وحاطين ابلكيشن منو داق؟؟ مافي خصوصية اذا ما لقيت بالابلكيشن القاه بقوقل لو سمحتو احذفو </t>
        </is>
      </c>
      <c r="E10" s="4" t="inlineStr"/>
    </row>
    <row r="11" ht="18" customHeight="1">
      <c r="A11" s="5" t="inlineStr">
        <is>
          <t>Mona Alrasheedi &lt;moonati3030@icloud.com&gt;</t>
        </is>
      </c>
      <c r="B11" s="6" t="inlineStr">
        <is>
          <t>moonati3030@icloud.com</t>
        </is>
      </c>
      <c r="C11" s="5">
        <f>?utf-8?B?2KfYsdis2Ygg2YXYs9itINin2YTYp9iz2YUg2KfZhNmF2LPYrNmE?=  =?utf-8?B?INi52YTZiSDYsdmC2YXZiiA=?=</f>
        <v/>
      </c>
      <c r="D11" s="5" t="inlineStr">
        <is>
          <t>Hello! How can we help you?  Report تيماء : 50049919   ‫أُرسلت من الـ iPhone‬</t>
        </is>
      </c>
      <c r="E11" s="7" t="inlineStr">
        <is>
          <t>50049919</t>
        </is>
      </c>
    </row>
    <row r="12" ht="18" customHeight="1">
      <c r="A12" s="2" t="inlineStr">
        <is>
          <t>Mona Alrasheedi &lt;moonati3030@icloud.com&gt;</t>
        </is>
      </c>
      <c r="B12" s="3" t="inlineStr">
        <is>
          <t>moonati3030@icloud.com</t>
        </is>
      </c>
      <c r="C12" s="2" t="inlineStr">
        <is>
          <t>Please delete this name</t>
        </is>
      </c>
      <c r="D12" s="2" t="inlineStr">
        <is>
          <t>Hello! How can we help you?  Report تيماء : 50049919   ‫أُرسلت من الـ iPhone‬</t>
        </is>
      </c>
      <c r="E12" s="4" t="inlineStr">
        <is>
          <t>50049919</t>
        </is>
      </c>
    </row>
    <row r="13" ht="18" customHeight="1">
      <c r="A13" s="5" t="inlineStr">
        <is>
          <t>Mona Alrasheedi &lt;moonati3030@icloud.com&gt;</t>
        </is>
      </c>
      <c r="B13" s="6" t="inlineStr">
        <is>
          <t>moonati3030@icloud.com</t>
        </is>
      </c>
      <c r="C13" s="5">
        <f>?utf-8?B?2KfYsdis2Ygg2YXYs9itINin2YTYp9iz2YUg2KfZhNmF2K7YstmG?=  =?utf-8?B?INi52YTZiSDYsdmC2YXZig==?=</f>
        <v/>
      </c>
      <c r="D13" s="5" t="inlineStr">
        <is>
          <t>Hello! How can we help you?  Report تيماء : 50049919   ‫أُرسلت من الـ iPhone‬</t>
        </is>
      </c>
      <c r="E13" s="7" t="inlineStr">
        <is>
          <t>50049919</t>
        </is>
      </c>
    </row>
    <row r="14" ht="18" customHeight="1">
      <c r="A14" s="2" t="inlineStr">
        <is>
          <t>abdullah alfoudari &lt;foudari24@gmail.com&gt;</t>
        </is>
      </c>
      <c r="B14" s="3" t="inlineStr">
        <is>
          <t>foudari24@gmail.com</t>
        </is>
      </c>
      <c r="C14" s="2">
        <f>?utf-8?B?2KXYs9in2KHYqSDYtNiu2LXZitipIA==?=</f>
        <v/>
      </c>
      <c r="D14" s="2" t="inlineStr">
        <is>
          <t>Hello! How can we help you?  Report حجم عبدالله فودري : 50114422   ‫أُرسلت من الـ iPhone‬</t>
        </is>
      </c>
      <c r="E14" s="4" t="inlineStr">
        <is>
          <t>50114422</t>
        </is>
      </c>
    </row>
    <row r="15" ht="18" customHeight="1">
      <c r="A15" s="5" t="inlineStr">
        <is>
          <t>abdullah alfoudari &lt;foudari24@gmail.com&gt;</t>
        </is>
      </c>
      <c r="B15" s="6" t="inlineStr">
        <is>
          <t>foudari24@gmail.com</t>
        </is>
      </c>
      <c r="C15" s="5">
        <f>?utf-8?B?2LDZg9ixINmF2LnZhNmI2YXYp9iqINiu2KfYtdipIA==?=</f>
        <v/>
      </c>
      <c r="D15" s="5" t="inlineStr">
        <is>
          <t>Hello! How can we help you?  Report عبدالله ولد بدور : 50114422   ‫أُرسلت من الـ iPhone‬</t>
        </is>
      </c>
      <c r="E15" s="7" t="inlineStr">
        <is>
          <t>50114422</t>
        </is>
      </c>
    </row>
    <row r="16" ht="18" customHeight="1">
      <c r="A16" s="2" t="inlineStr">
        <is>
          <t>alasas@gmx.com</t>
        </is>
      </c>
      <c r="B16" s="3" t="inlineStr">
        <is>
          <t>alasas@gmx.com</t>
        </is>
      </c>
      <c r="C16" s="2">
        <f>?utf-8?B?2LTZg9mI2Yk=?=</f>
        <v/>
      </c>
      <c r="D16" s="2" t="inlineStr">
        <is>
          <t>Hello! How can we help   انا اشتركت في خدمة اخفاء الرقم "0096551011133" في تاريخ 27/4/2025 لمدة سنة فلماذا يتم الغاء االخدمة؟ هذا مخالف للشروط اللي بينا والمصداقية  غير صحيحة  فالرجاء ارجاع الخدمة  ‫أُرسلت من الـ iPhone‬</t>
        </is>
      </c>
      <c r="E16" s="4" t="inlineStr">
        <is>
          <t>51011133</t>
        </is>
      </c>
    </row>
    <row r="17" ht="18" customHeight="1">
      <c r="A17" s="5" t="inlineStr">
        <is>
          <t>alasas@gmx.com</t>
        </is>
      </c>
      <c r="B17" s="6" t="inlineStr">
        <is>
          <t>alasas@gmx.com</t>
        </is>
      </c>
      <c r="C17" s="5">
        <f>?utf-8?B?2YTZhdin2LDYpyDYqtmFINin2YTYutin2KEg2KrZgdi52YrZhCA=?=  =?utf-8?B?2KfYrtmB2KfYoSDYp9mE2LHZgtmF?=</f>
        <v/>
      </c>
      <c r="D17" s="5" t="inlineStr">
        <is>
          <t>Hello! How can we help you?     انا اشتركت في خدمة اخفاء الرقم في تاريخ 27/4/2025 لمدة سنة فلماذا يتم الغاء االخدمة؟ هذا مخالف للشروط اللي بينا والمصداقية  غير صحيحة  فالرجاء ارجاع الخدمة   ‫أُرسلت من الـ iPhone‬</t>
        </is>
      </c>
      <c r="E17" s="7" t="inlineStr"/>
    </row>
    <row r="18" ht="18" customHeight="1">
      <c r="A18" s="2" t="inlineStr">
        <is>
          <t>Naeem Almatrouk &lt;naeemalmatrouk@icloud.com&gt;</t>
        </is>
      </c>
      <c r="B18" s="3" t="inlineStr">
        <is>
          <t>naeemalmatrouk@icloud.com</t>
        </is>
      </c>
      <c r="C18" s="2">
        <f>?utf-8?B?2K3YsNmBINin2YTYp9mK2YXZitmEIA==?=</f>
        <v/>
      </c>
      <c r="D18" s="2" t="inlineStr">
        <is>
          <t>Hello! How can we help you?  Report -senyarco@hotmail.com : 62221910  برجاء حذف البريد الإلكتروني الخاص فيني   لو سمحت يوجد عده اسماء خاصه فيني وتم تخزين الايميل الخاص فيني  برجاء مسح الايميل المسجل فى البحث لديكم  مع الشكر   Sent from my iPhone</t>
        </is>
      </c>
      <c r="E18" s="4" t="inlineStr">
        <is>
          <t>62221910</t>
        </is>
      </c>
    </row>
    <row r="19" ht="18" customHeight="1">
      <c r="A19" s="5" t="inlineStr">
        <is>
          <t>Soso Aldabbouss &lt;sosoaldabbouss@gmail.com&gt;</t>
        </is>
      </c>
      <c r="B19" s="6" t="inlineStr">
        <is>
          <t>sosoaldabbouss@gmail.com</t>
        </is>
      </c>
      <c r="C19" s="5">
        <f>?utf-8?B?2KrYqNmE2YrYug==?=</f>
        <v/>
      </c>
      <c r="D19" s="5" t="inlineStr">
        <is>
          <t>Hello! How can we help you?  Report Bo Mesk- : 66911108   Sent from my iPhone</t>
        </is>
      </c>
      <c r="E19" s="7" t="inlineStr">
        <is>
          <t>66911108</t>
        </is>
      </c>
    </row>
    <row r="20" ht="18" customHeight="1">
      <c r="A20" s="2" t="inlineStr">
        <is>
          <t>Soso Aldabbouss &lt;sosoaldabbouss@gmail.com&gt;</t>
        </is>
      </c>
      <c r="B20" s="3" t="inlineStr">
        <is>
          <t>sosoaldabbouss@gmail.com</t>
        </is>
      </c>
      <c r="C20" s="2">
        <f>?utf-8?B?2KfYs9mFINi62YrYsSDYtdit2YrYrQ==?=</f>
        <v/>
      </c>
      <c r="D20" s="2" t="inlineStr">
        <is>
          <t>Hello! How can we help you?  Report سلوى عبدالهادي الفضلي 36217 : 66911108   Sent from my iPhone</t>
        </is>
      </c>
      <c r="E20" s="4" t="inlineStr">
        <is>
          <t>66911108</t>
        </is>
      </c>
    </row>
    <row r="21" ht="18" customHeight="1">
      <c r="A21" s="5" t="inlineStr">
        <is>
          <t>Soso Aldabbouss &lt;sosoaldabbouss@gmail.com&gt;</t>
        </is>
      </c>
      <c r="B21" s="6" t="inlineStr">
        <is>
          <t>sosoaldabbouss@gmail.com</t>
        </is>
      </c>
      <c r="C21" s="5">
        <f>?utf-8?B?2KrYqNmE2YrYuiAh?=</f>
        <v/>
      </c>
      <c r="D21" s="5" t="inlineStr">
        <is>
          <t>Hello! How can we help you?  Report لمبه حمام : 66911108   Sent from my iPhone</t>
        </is>
      </c>
      <c r="E21" s="7" t="inlineStr">
        <is>
          <t>66911108</t>
        </is>
      </c>
    </row>
    <row r="22" ht="18" customHeight="1">
      <c r="A22" s="2" t="inlineStr">
        <is>
          <t>Soso Aldabbouss &lt;sosoaldabbouss@gmail.com&gt;</t>
        </is>
      </c>
      <c r="B22" s="3" t="inlineStr">
        <is>
          <t>sosoaldabbouss@gmail.com</t>
        </is>
      </c>
      <c r="C22" s="2" t="inlineStr"/>
      <c r="D22" s="2" t="inlineStr">
        <is>
          <t>Hello! How can we help you?  Report لمبه حمام الفنطاس ق4ش9م32 : 66911108   Sent from my iPhone</t>
        </is>
      </c>
      <c r="E22" s="4" t="inlineStr">
        <is>
          <t>66911108</t>
        </is>
      </c>
    </row>
    <row r="23" ht="18" customHeight="1">
      <c r="A23" s="5">
        <f>?utf-8?B?2KfZhNmA2YDZiNiq2YDZgNmK2YDZhg==?= &lt;a.al3nzyaq8@gmail.com&gt;</f>
        <v/>
      </c>
      <c r="B23" s="6" t="inlineStr">
        <is>
          <t>a.al3nzyaq8@gmail.com</t>
        </is>
      </c>
      <c r="C23" s="5">
        <f>?utf-8?Q?=D8=A7=D8=B1=D8=AC=D9=88_=D9=85=D8=B3=D8=AD_=D8=A7?=  =?utf-8?Q?=D9=84=D8=B1=D9=82=D9=85_=D9=85=D9=86_=D9=85=D9=86?=  =?utf-8?Q?=D9=88_=D8=AF=D8=A7=D9=82_66837847?=</f>
        <v/>
      </c>
      <c r="D23" s="5" t="inlineStr">
        <is>
          <t>Hello! How can we help you?  Report Ahmed Salem Mazda- : 66837847   ‫أُرسلت من الـ iPhone‬</t>
        </is>
      </c>
      <c r="E23" s="7" t="inlineStr">
        <is>
          <t>66837847</t>
        </is>
      </c>
    </row>
    <row r="24" ht="18" customHeight="1">
      <c r="A24" s="2" t="inlineStr">
        <is>
          <t>Abdulmohsen ALShaya &lt;ayalshaye3@icloud.com&gt;</t>
        </is>
      </c>
      <c r="B24" s="3" t="inlineStr">
        <is>
          <t>ayalshaye3@icloud.com</t>
        </is>
      </c>
      <c r="C24" s="2" t="inlineStr"/>
      <c r="D24" s="2" t="inlineStr">
        <is>
          <t>Hello! How can we help you?  Report زبون عبدالمحسن الشايع عزوبى صاحب : 91111001  Please remove only this it is wrong and causing problems   Best regards... Abdulmohsen Y. ALShaya</t>
        </is>
      </c>
      <c r="E24" s="4" t="inlineStr">
        <is>
          <t>91111001</t>
        </is>
      </c>
    </row>
    <row r="25" ht="18" customHeight="1">
      <c r="A25" s="5" t="inlineStr">
        <is>
          <t>Saud Alkandari &lt;saud.alkandari94@gmail.com&gt;</t>
        </is>
      </c>
      <c r="B25" s="6" t="inlineStr">
        <is>
          <t>saud.alkandari94@gmail.com</t>
        </is>
      </c>
      <c r="C25" s="5" t="inlineStr"/>
      <c r="D25" s="5" t="inlineStr">
        <is>
          <t>Hello! How can we help you?  Report سعود الكندري بوكمون : 99810585   Sent from my iPhone</t>
        </is>
      </c>
      <c r="E25" s="7" t="inlineStr">
        <is>
          <t>99810585</t>
        </is>
      </c>
    </row>
    <row r="26" ht="18" customHeight="1">
      <c r="A26" s="2" t="inlineStr">
        <is>
          <t>Saud Alkandari &lt;saud.alkandari94@gmail.com&gt;</t>
        </is>
      </c>
      <c r="B26" s="3" t="inlineStr">
        <is>
          <t>saud.alkandari94@gmail.com</t>
        </is>
      </c>
      <c r="C26" s="2" t="inlineStr"/>
      <c r="D26" s="2" t="inlineStr">
        <is>
          <t>Hello! How can we help you?  Report لا ترد يحنج Soud- : 99810585   Sent from my iPhone</t>
        </is>
      </c>
      <c r="E26" s="4" t="inlineStr">
        <is>
          <t>99810585</t>
        </is>
      </c>
    </row>
    <row r="27" ht="18" customHeight="1">
      <c r="A27" s="5" t="inlineStr">
        <is>
          <t>khaled Eid &lt;jaberbo801@icloud.com&gt;</t>
        </is>
      </c>
      <c r="B27" s="6" t="inlineStr">
        <is>
          <t>jaberbo801@icloud.com</t>
        </is>
      </c>
      <c r="C27" s="5">
        <f>?utf-8?B?2K3YuNixINix2YLZhSA5MDkxNzc3OCDYp9mE2LHYrNin2KEg2Ko=?=  =?utf-8?B?2KzZhtioINmF2K3Zg9mF2Kkg2YLYttin2KbZitip?=</f>
        <v/>
      </c>
      <c r="D27" s="5" t="inlineStr">
        <is>
          <t xml:space="preserve">حظر رقم 90917778 الرجاء تجنب محكمة قضائية  </t>
        </is>
      </c>
      <c r="E27" s="7" t="inlineStr">
        <is>
          <t>90917778</t>
        </is>
      </c>
    </row>
    <row r="28" ht="18" customHeight="1">
      <c r="A28" s="2" t="inlineStr">
        <is>
          <t>MOHAMMAD ALDUWAIKH &lt;m_alduwaikh@yahoo.com&gt;</t>
        </is>
      </c>
      <c r="B28" s="3" t="inlineStr">
        <is>
          <t>m_alduwaikh@yahoo.com</t>
        </is>
      </c>
      <c r="C28" s="2">
        <f>?utf-8?B?2KfZhNix2KzYp9ihINit2LDZgSDYp9mE2KfYs9mF?=</f>
        <v/>
      </c>
      <c r="D28" s="2" t="inlineStr">
        <is>
          <t>Hello! How can we help you?  Report لولوتي وطنيه : 65620667   Sent from my iPhone</t>
        </is>
      </c>
      <c r="E28" s="4" t="inlineStr">
        <is>
          <t>65620667</t>
        </is>
      </c>
    </row>
    <row r="29" ht="18" customHeight="1">
      <c r="A29" s="5" t="inlineStr">
        <is>
          <t>Abdullah ALamairi &lt;barcelony@hotmail.com&gt;</t>
        </is>
      </c>
      <c r="B29" s="6" t="inlineStr">
        <is>
          <t>barcelony@hotmail.com</t>
        </is>
      </c>
      <c r="C29" s="5" t="inlineStr"/>
      <c r="D29" s="5" t="inlineStr">
        <is>
          <t xml:space="preserve">Hello! How can we help you?  Report Abdullah sitges : 66622294  Sent from my iPhone </t>
        </is>
      </c>
      <c r="E29" s="7" t="inlineStr">
        <is>
          <t>66622294</t>
        </is>
      </c>
    </row>
    <row r="30" ht="18" customHeight="1">
      <c r="A30" s="2">
        <f>?utf-8?B?2LPZhNi32KfZhiDZgdin2YTYrSDYp9mE2LnYtdmK2YXZig==?= 	&lt;fsl-2075@hotmail.com&gt;</f>
        <v/>
      </c>
      <c r="B30" s="3" t="inlineStr">
        <is>
          <t>fsl-2075@hotmail.com</t>
        </is>
      </c>
      <c r="C30" s="2">
        <f>?utf-8?B?2LHZgdi5INi02YPZiNinINio2K3ZgiDYqNix2YbYp9mF2Kwg2YXZhtmIINiv?=  =?utf-8?B?2KfZgiAg?=</f>
        <v/>
      </c>
      <c r="D30" s="2" t="inlineStr">
        <is>
          <t xml:space="preserve">﻿  السلام عليكم اخوي انا عندي رقمين دافعلهم وحاضرهم من برنامج منو داق واللحين موجوده  انا مابي اقدم شكواء لهيئة الاتصالات ابحل الموضوع والا اخذت الاجرات القانونيه بحقكم.  ‬ </t>
        </is>
      </c>
      <c r="E30" s="4" t="inlineStr"/>
    </row>
    <row r="31" ht="18" customHeight="1">
      <c r="A31" s="5" t="inlineStr">
        <is>
          <t>Abdallah Abdallah &lt;q8aa1983@icloud.com&gt;</t>
        </is>
      </c>
      <c r="B31" s="6" t="inlineStr">
        <is>
          <t>q8aa1983@icloud.com</t>
        </is>
      </c>
      <c r="C31" s="5">
        <f>?utf-8?B?2KXZhNi62KfYoSDYp9mE2KfYs9mF?=</f>
        <v/>
      </c>
      <c r="D31" s="5" t="inlineStr">
        <is>
          <t>Hello! How can we help you?  Report عبدالله ولد نوره- : 66222435   ‫أُرسلت من الـ iPhone‬</t>
        </is>
      </c>
      <c r="E31" s="7" t="inlineStr">
        <is>
          <t>66222435</t>
        </is>
      </c>
    </row>
    <row r="32" ht="18" customHeight="1">
      <c r="A32" s="2" t="inlineStr">
        <is>
          <t>Abdallah Abdallah &lt;q8aa1983@icloud.com&gt;</t>
        </is>
      </c>
      <c r="B32" s="3" t="inlineStr">
        <is>
          <t>q8aa1983@icloud.com</t>
        </is>
      </c>
      <c r="C32" s="2">
        <f>?utf-8?B?2KXZhNi62KfYoSDYp9mE2KfYs9mF?=</f>
        <v/>
      </c>
      <c r="D32" s="2" t="inlineStr">
        <is>
          <t>Hello! How can we help you?  Report طالب ليكزس ابوناصر- : 66222435   ‫أُرسلت من الـ iPhone‬</t>
        </is>
      </c>
      <c r="E32" s="4" t="inlineStr">
        <is>
          <t>66222435</t>
        </is>
      </c>
    </row>
    <row r="33" ht="18" customHeight="1">
      <c r="A33" s="5" t="inlineStr">
        <is>
          <t>shahad ali &lt;klakchik@icloud.com&gt;</t>
        </is>
      </c>
      <c r="B33" s="6" t="inlineStr">
        <is>
          <t>klakchik@icloud.com</t>
        </is>
      </c>
      <c r="C33" s="5" t="inlineStr">
        <is>
          <t>Request to Remove Displayed Name Due to Defamation and Privacy Concerns</t>
        </is>
      </c>
      <c r="D33" s="5" t="inlineStr">
        <is>
          <t>Report شهد كبسه خاينه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you for your  ...</t>
        </is>
      </c>
      <c r="E33" s="7" t="inlineStr">
        <is>
          <t>52525907</t>
        </is>
      </c>
    </row>
    <row r="34" ht="18" customHeight="1">
      <c r="A34" s="2" t="inlineStr">
        <is>
          <t>shahad ali &lt;klakchik@icloud.com&gt;</t>
        </is>
      </c>
      <c r="B34" s="3" t="inlineStr">
        <is>
          <t>klakchik@icloud.com</t>
        </is>
      </c>
      <c r="C34" s="2" t="inlineStr">
        <is>
          <t>Request to Remove Displayed Name Due to Defamation and Privacy Concerns</t>
        </is>
      </c>
      <c r="D34" s="2" t="inlineStr">
        <is>
          <t xml:space="preserve"> Report خاينة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you for your prompt ...</t>
        </is>
      </c>
      <c r="E34" s="4" t="inlineStr">
        <is>
          <t>52525907</t>
        </is>
      </c>
    </row>
    <row r="35" ht="18" customHeight="1">
      <c r="A35" s="5" t="inlineStr">
        <is>
          <t>shahad ali &lt;klakchik@icloud.com&gt;</t>
        </is>
      </c>
      <c r="B35" s="6" t="inlineStr">
        <is>
          <t>klakchik@icloud.com</t>
        </is>
      </c>
      <c r="C35" s="5" t="inlineStr">
        <is>
          <t xml:space="preserve">Request to remove Display Name Due to Defamation and Privacy Concerns   </t>
        </is>
      </c>
      <c r="D35" s="5" t="inlineStr">
        <is>
          <t>Report شهد كبسه خاينه زوجها بالمخفر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 ...</t>
        </is>
      </c>
      <c r="E35" s="7" t="inlineStr">
        <is>
          <t>52525907</t>
        </is>
      </c>
    </row>
    <row r="36" ht="18" customHeight="1">
      <c r="A36" s="2" t="inlineStr">
        <is>
          <t>shahad ali &lt;klakchik@icloud.com&gt;</t>
        </is>
      </c>
      <c r="B36" s="3" t="inlineStr">
        <is>
          <t>klakchik@icloud.com</t>
        </is>
      </c>
      <c r="C36" s="2" t="inlineStr">
        <is>
          <t>Request to Remove Displayed Name Due to Defamation and Privacy Concerns</t>
        </is>
      </c>
      <c r="D36" s="2" t="inlineStr">
        <is>
          <t xml:space="preserve"> Report شهد خاينه زوجها كبسه مخفر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 ...</t>
        </is>
      </c>
      <c r="E36" s="4" t="inlineStr">
        <is>
          <t>52525907</t>
        </is>
      </c>
    </row>
    <row r="37" ht="18" customHeight="1">
      <c r="A37" s="5" t="inlineStr">
        <is>
          <t>shahad ali &lt;klakchik@icloud.com&gt;</t>
        </is>
      </c>
      <c r="B37" s="6" t="inlineStr">
        <is>
          <t>klakchik@icloud.com</t>
        </is>
      </c>
      <c r="C37" s="5" t="inlineStr">
        <is>
          <t>Request to Remove Displayed Name Due to Defamation and Privacy Concerns</t>
        </is>
      </c>
      <c r="D37" s="5" t="inlineStr">
        <is>
          <t xml:space="preserve"> Report شهد Wife Cheater كبسه : 52525907  Dear, menodag Support team,  I hope this message finds you well. I am contacting you regarding the name currently displayed for the phone number [+965-52525907] on your application.  The name shown is inaccurate and is causing serious harm to the reputation of the person concerned. This mislabeling constitutes a form of defamation and is negatively affecting the individual’s personal, family, and professional life.  We kindly request that you remove the displayed name associated with this number as soon as possible to prevent further damage.  Please confirm once the issue has been resolved or if any additional verification is required.  Thank you for ...</t>
        </is>
      </c>
      <c r="E37" s="7" t="inlineStr">
        <is>
          <t>52525907</t>
        </is>
      </c>
    </row>
    <row r="38" ht="18" customHeight="1">
      <c r="A38" s="2">
        <f>?utf-8?B?2YXYrdmF2K8g2KfZhNmF2YrZhdmI2YbZig==?= &lt;m-_7md@hotmail.com&gt;</f>
        <v/>
      </c>
      <c r="B38" s="3" t="inlineStr">
        <is>
          <t>m-_7md@hotmail.com</t>
        </is>
      </c>
      <c r="C38" s="2" t="inlineStr"/>
      <c r="D38" s="2" t="inlineStr">
        <is>
          <t xml:space="preserve">Hello! How can we help you?  Report زبون صورة صمون : 50206192  Sent from my iPhone </t>
        </is>
      </c>
      <c r="E38" s="4" t="inlineStr">
        <is>
          <t>50206192</t>
        </is>
      </c>
    </row>
    <row r="39" ht="18" customHeight="1">
      <c r="A39" s="5" t="inlineStr">
        <is>
          <t>K K &lt;k.alm6iry@hotmail.com&gt;</t>
        </is>
      </c>
      <c r="B39" s="6" t="inlineStr">
        <is>
          <t>k.alm6iry@hotmail.com</t>
        </is>
      </c>
      <c r="C39" s="5">
        <f>?utf-8?B?2KfZhNiz2YTYp9mFINi52YTZitmD2YUg?=</f>
        <v/>
      </c>
      <c r="D39" s="5" t="inlineStr">
        <is>
          <t xml:space="preserve">﻿ ﻿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39" s="7" t="inlineStr">
        <is>
          <t>65188868</t>
        </is>
      </c>
    </row>
    <row r="40" ht="18" customHeight="1">
      <c r="A40" s="2" t="inlineStr">
        <is>
          <t>m6iyr &lt;alm6iry@hotmail.com&gt;</t>
        </is>
      </c>
      <c r="B40" s="3" t="inlineStr">
        <is>
          <t>alm6iry@hotmail.com</t>
        </is>
      </c>
      <c r="C40" s="2">
        <f>?utf-8?B?2KfZhNix2KzYp9ihINi52K/ZhSDYqtis2KfZh9mEINin2YTYp9mF2LEg?=</f>
        <v/>
      </c>
      <c r="D40" s="2"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t>
        </is>
      </c>
      <c r="E40" s="4" t="inlineStr">
        <is>
          <t>65188868</t>
        </is>
      </c>
    </row>
    <row r="41" ht="18" customHeight="1">
      <c r="A41" s="5" t="inlineStr">
        <is>
          <t>m6iyr &lt;alm6iry@hotmail.com&gt;</t>
        </is>
      </c>
      <c r="B41" s="6" t="inlineStr">
        <is>
          <t>alm6iry@hotmail.com</t>
        </is>
      </c>
      <c r="C41" s="5">
        <f>?utf-8?B?2YXZh9mFINis2K/Yp9mLINiMICDYudiv2YUg2YbYtNixINmF2LnZhNmI2YU=?=  =?utf-8?B?2KfYqtmKINin2YTYtNiu2LXZitmHIA==?=</f>
        <v/>
      </c>
      <c r="D41" s="5" t="inlineStr">
        <is>
          <t xml:space="preserve">﻿ ﻿ ﻿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41" s="7" t="inlineStr">
        <is>
          <t>65188868</t>
        </is>
      </c>
    </row>
    <row r="42" ht="18" customHeight="1">
      <c r="A42" s="2">
        <f>?utf-8?B?2YXYrdmF2K8g2KfZhNmF2YrZhdmI2YbZig==?= &lt;m-_7md@hotmail.com&gt;</f>
        <v/>
      </c>
      <c r="B42" s="3" t="inlineStr">
        <is>
          <t>m-_7md@hotmail.com</t>
        </is>
      </c>
      <c r="C42" s="2" t="inlineStr"/>
      <c r="D42" s="2" t="inlineStr">
        <is>
          <t xml:space="preserve">Hello! How can we help you?  Report محمد المطيري - المشهد : 50206192  Sent from my iPhone </t>
        </is>
      </c>
      <c r="E42" s="4" t="inlineStr">
        <is>
          <t>50206192</t>
        </is>
      </c>
    </row>
    <row r="43" ht="18" customHeight="1">
      <c r="A43" s="5">
        <f>?utf-8?B?2YXYrdmF2K8g2KfZhNmF2YrZhdmI2YbZig==?= &lt;m-_7md@hotmail.com&gt;</f>
        <v/>
      </c>
      <c r="B43" s="6" t="inlineStr">
        <is>
          <t>m-_7md@hotmail.com</t>
        </is>
      </c>
      <c r="C43" s="5" t="inlineStr"/>
      <c r="D43" s="5" t="inlineStr">
        <is>
          <t xml:space="preserve">Hello! How can we help you?  Report محمد هجاج الميموني (تكنو)- : 50206192  Sent from my iPhone </t>
        </is>
      </c>
      <c r="E43" s="7" t="inlineStr">
        <is>
          <t>50206192</t>
        </is>
      </c>
    </row>
    <row r="44" ht="18" customHeight="1">
      <c r="A44" s="2">
        <f>?utf-8?B?2YXYrdmF2K8g2KfZhNmF2YrZhdmI2YbZig==?= &lt;m-_7md@hotmail.com&gt;</f>
        <v/>
      </c>
      <c r="B44" s="3" t="inlineStr">
        <is>
          <t>m-_7md@hotmail.com</t>
        </is>
      </c>
      <c r="C44" s="2" t="inlineStr"/>
      <c r="D44" s="2" t="inlineStr">
        <is>
          <t xml:space="preserve">Hello! How can we help you?  Report محمد هجاج ولد خال عامر- : 50206192  Sent from my iPhone </t>
        </is>
      </c>
      <c r="E44" s="4" t="inlineStr">
        <is>
          <t>50206192</t>
        </is>
      </c>
    </row>
    <row r="45" ht="18" customHeight="1">
      <c r="A45" s="5">
        <f>?utf-8?B?2YXYrdmF2K8g2KfZhNmF2YrZhdmI2YbZig==?= &lt;m-_7md@hotmail.com&gt;</f>
        <v/>
      </c>
      <c r="B45" s="6" t="inlineStr">
        <is>
          <t>m-_7md@hotmail.com</t>
        </is>
      </c>
      <c r="C45" s="5" t="inlineStr"/>
      <c r="D45" s="5" t="inlineStr">
        <is>
          <t xml:space="preserve">Hello! How can we help you?  Report محمد هجاج ولد خال عامر - : 50206192  Sent from my iPhone </t>
        </is>
      </c>
      <c r="E45" s="7" t="inlineStr">
        <is>
          <t>50206192</t>
        </is>
      </c>
    </row>
    <row r="46" ht="18" customHeight="1">
      <c r="A46" s="2">
        <f>?utf-8?B?2YXYrdmF2K8g2KfZhNmF2YrZhdmI2YbZig==?= &lt;m-_7md@hotmail.com&gt;</f>
        <v/>
      </c>
      <c r="B46" s="3" t="inlineStr">
        <is>
          <t>m-_7md@hotmail.com</t>
        </is>
      </c>
      <c r="C46" s="2" t="inlineStr"/>
      <c r="D46" s="2" t="inlineStr">
        <is>
          <t xml:space="preserve">Hello! How can we help you?  Report ت-✋ : 50206192  Sent from my iPhone </t>
        </is>
      </c>
      <c r="E46" s="4" t="inlineStr">
        <is>
          <t>50206192</t>
        </is>
      </c>
    </row>
    <row r="47" ht="18" customHeight="1">
      <c r="A47" s="5" t="inlineStr">
        <is>
          <t>p2p20006@gmail.com</t>
        </is>
      </c>
      <c r="B47" s="6" t="inlineStr">
        <is>
          <t>p2p20006@gmail.com</t>
        </is>
      </c>
      <c r="C47" s="5">
        <f>?utf-8?B?2LfZhNioINit2LDZgSDYsdmC2YU=?=</f>
        <v/>
      </c>
      <c r="D47" s="5" t="inlineStr">
        <is>
          <t>السلام عليكم رقمي مسجل باسم ام فهد  عند البحث  لانه كان لشخص سابق  اريد ان يحذف   حتى ايتطيع ان احفظه باسمي  ‫أُرسلت من الـ iPhone‬</t>
        </is>
      </c>
      <c r="E47" s="7" t="inlineStr"/>
    </row>
    <row r="48" ht="18" customHeight="1">
      <c r="A48" s="2">
        <f>?utf-8?B?2YHZhNin2YYg2KfZhNmB2YTYp9mG2Yo=?= &lt;x6_2000@hotmail.com&gt;</f>
        <v/>
      </c>
      <c r="B48" s="3" t="inlineStr">
        <is>
          <t>x6_2000@hotmail.com</t>
        </is>
      </c>
      <c r="C48" s="2">
        <f>?utf-8?B?2KfZhNix2KzYp9ihINin2YTYp9iz2KrYrNin2KjZhyDZiNin2K3Yqtix2Kc=?=  =?utf-8?B?2YUg2KfZhNiu2LXZiNi12YrZhyAh?=</f>
        <v/>
      </c>
      <c r="D48"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واجبات حسن رياضيات : 65855115   </t>
        </is>
      </c>
      <c r="E48" s="4" t="inlineStr">
        <is>
          <t>65855115</t>
        </is>
      </c>
    </row>
    <row r="49" ht="18" customHeight="1">
      <c r="A49" s="5">
        <f>?utf-8?B?2YHZhNin2YYg2KfZhNmB2YTYp9mG2Yo=?= &lt;x6_2000@hotmail.com&gt;</f>
        <v/>
      </c>
      <c r="B49" s="6" t="inlineStr">
        <is>
          <t>x6_2000@hotmail.com</t>
        </is>
      </c>
      <c r="C49" s="5">
        <f>?utf-8?B?2KfZhNix2K3Yp9ihINin2YTYp9iz2KrYrNin2KjZhw==?=</f>
        <v/>
      </c>
      <c r="D49" s="5"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واجبات حسن رياضيات 2 تكنولوجيا : 65855115   </t>
        </is>
      </c>
      <c r="E49" s="7" t="inlineStr">
        <is>
          <t>65855115</t>
        </is>
      </c>
    </row>
    <row r="50" ht="18" customHeight="1">
      <c r="A50" s="2">
        <f>?utf-8?B?2YHZhNin2YYg2KfZhNmB2YTYp9mG2Yo=?= &lt;x6_2000@hotmail.com&gt;</f>
        <v/>
      </c>
      <c r="B50" s="3" t="inlineStr">
        <is>
          <t>x6_2000@hotmail.com</t>
        </is>
      </c>
      <c r="C50" s="2">
        <f>?utf-8?B?2YrYsdis2Ykg2K3YsNmBINin2YTYsdmC2YUg2YjYp9mE2KjZitin2YbYp9iq?=  =?utf-8?B?INio2LTZg9mEINmD2KfZhdmEINmI2YXYs9iq2YXYsQ==?=</f>
        <v/>
      </c>
      <c r="D50"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Haya : 65855115   </t>
        </is>
      </c>
      <c r="E50" s="4" t="inlineStr">
        <is>
          <t>65855115</t>
        </is>
      </c>
    </row>
    <row r="51" ht="18" customHeight="1">
      <c r="A51" s="5">
        <f>?utf-8?B?2YHZhNin2YYg2KfZhNmB2YTYp9mG2Yo=?= &lt;x6_2000@hotmail.com&gt;</f>
        <v/>
      </c>
      <c r="B51" s="6" t="inlineStr">
        <is>
          <t>x6_2000@hotmail.com</t>
        </is>
      </c>
      <c r="C51" s="5">
        <f>?utf-8?B?2YrYsdis2Ykg2K3YsNmBINin2YTYsdmC2YUg2YjYp9mE2KjZitin2YbYp9iq?=  =?utf-8?B?INio2LTZg9mEINmD2KfZhdmEINmI2YXYs9iq2YXYsQ==?=</f>
        <v/>
      </c>
      <c r="D51" s="5"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ومستمر انتم تدخلونني بمشاكل انا في غنى عنها  Report Haya : 65855115   </t>
        </is>
      </c>
      <c r="E51" s="7" t="inlineStr">
        <is>
          <t>65855115</t>
        </is>
      </c>
    </row>
    <row r="52" ht="18" customHeight="1">
      <c r="A52" s="2" t="inlineStr">
        <is>
          <t>Mohd Alabib &lt;alhabib.2031@icloud.com&gt;</t>
        </is>
      </c>
      <c r="B52" s="3" t="inlineStr">
        <is>
          <t>alhabib.2031@icloud.com</t>
        </is>
      </c>
      <c r="C52" s="2">
        <f>?utf-8?B?2YfYsNmKINiq2LnYqtio2LEg2LPYqNmHINi52YbYr9mG2Kcg2Kg=?=  =?utf-8?B?2KfZhNmD2YjZitiq2Yo=?=</f>
        <v/>
      </c>
      <c r="D52" s="2" t="inlineStr">
        <is>
          <t>Hello! How can we help you?  Report Taraf : 69694199   Sent from my iPhone</t>
        </is>
      </c>
      <c r="E52" s="4" t="inlineStr">
        <is>
          <t>69694199</t>
        </is>
      </c>
    </row>
    <row r="53" ht="18" customHeight="1">
      <c r="A53" s="5" t="inlineStr">
        <is>
          <t>"=?utf-8?B?2LfZhNin2YQg2KfZhNi52KrZitio2Yo=?=" &lt;t55988500@gmail.com&gt;</t>
        </is>
      </c>
      <c r="B53" s="6" t="inlineStr">
        <is>
          <t>t55988500@gmail.com</t>
        </is>
      </c>
      <c r="C53" s="5" t="inlineStr"/>
      <c r="D53" s="5" t="inlineStr">
        <is>
          <t>Hello! How can we help you?  Report دلوووعة الماامااا- : 55988500   ‫أُرسلت من الـ iPhone‬</t>
        </is>
      </c>
      <c r="E53" s="7" t="inlineStr">
        <is>
          <t>55988500</t>
        </is>
      </c>
    </row>
    <row r="54" ht="18" customHeight="1">
      <c r="A54" s="2" t="inlineStr">
        <is>
          <t>SH &lt;shuuuog@gmail.com&gt;</t>
        </is>
      </c>
      <c r="B54" s="3" t="inlineStr">
        <is>
          <t>shuuuog@gmail.com</t>
        </is>
      </c>
      <c r="C54" s="2">
        <f>?UTF-8?B?2LfZhNioINil2LnYp9iv2Kkg2KXYuNmH2KfYsSDYsdmC2YXZiiDZgdmKINin2YTYqNit?= 	=?UTF-8?B?2Ksg2KjYudivINit2LDZgdmHINio2KfZhNiu2LfYow==?=</f>
        <v/>
      </c>
      <c r="D54" s="2" t="inlineStr">
        <is>
          <t xml:space="preserve">السلام عليكم ورحمة الله وبركاته،   أنا صاحبة الرقم +965 99641100، وقد تم حذف الرقم من نتائج البحث في تطبيق منو داق عن طريق الخطأ بعد أن طلبت سابقًا تعديل الأسماء المرتبطة به.   أود التأكيد أن طلبي السابق لم يكن حذف الرقم نهائيًا، وإنما فقط تعديل الأسماء.   أرجو منكم إعادة تفعيل ظهور الرقم في البحث وإرجاعه إلى قاعدة البيانات، وأؤكد أني لا أرغب بحذف الرقم إطلاقًا.   الاسم المطلوب تثبيته عند إعادة الرقم هو: شوق الجناعي   مع خالص الشكر والتقدير لتعاونكم،   الاسم: شوق الجناعي  الرقم: +965 99641100 </t>
        </is>
      </c>
      <c r="E54" s="4" t="inlineStr">
        <is>
          <t>99641100</t>
        </is>
      </c>
    </row>
    <row r="55" ht="18" customHeight="1">
      <c r="A55" s="5" t="inlineStr">
        <is>
          <t>SH &lt;shuuuog@gmail.com&gt;</t>
        </is>
      </c>
      <c r="B55" s="6" t="inlineStr">
        <is>
          <t>shuuuog@gmail.com</t>
        </is>
      </c>
      <c r="C55" s="5">
        <f>?UTF-8?B?2KfZhNmF2YjYttmI2Lk6INi32YTYqCDYqti52K/ZitmEINmI2KrZiNir2YrZgiDYp9mE?= 	=?UTF-8?B?2KPYs9mF2KfYoSDYp9mE2K7Yp9i12Kkg2KjYsdmC2YUg2KfZhNmH2KfYqtmB?=</f>
        <v/>
      </c>
      <c r="D55" s="5" t="inlineStr">
        <is>
          <t>السلام عليكم ورحمة الله وبركاته،   أنا صاحبة الرقم 99641100 965+ وأرغب بتحديث الأسماء المرتبطة برقمي في تطبيق منو داق، وتصحيحها فقط دون حذف أو إخفاء الرقم من نتائج البحث — أكرر أن طلبي هو التعديل فقط وليس الحذف.   هذه الأسماء القديمة التي أرجو تعديلها إلى الأسماء الجديدة التالية:   خالد ← شوق الجناعي  Shoug Aljna3i ← F R L N. 2  Shouq ← kalled Al saba  ابو فهد ← Shouq Aljenaei  ال خالد السالم ← Shoug aljenaie  fatooma Alsabah ← شواقه الجناعي  Khaled Salem Aaziz ← شوق بدر القناعي  Shwaga ← Khalid      كما أرجو إضافة وتوثيق الأسماء التالية أيضًا لتكون مرتبطة برقمي في قاعدة البيانات:   شواقه  بنيتي  شوق القناعي  Shwagti  شوق الجناعي  شواقه القناعي  Shoug Aljenaiee  البدر القناعي  Shoug Albader  ...</t>
        </is>
      </c>
      <c r="E55" s="7" t="inlineStr">
        <is>
          <t>99641100</t>
        </is>
      </c>
    </row>
    <row r="56" ht="18" customHeight="1">
      <c r="A56" s="2" t="inlineStr">
        <is>
          <t>Cordova 1 &lt;cordova.1@hotmail.com&gt;</t>
        </is>
      </c>
      <c r="B56" s="3" t="inlineStr">
        <is>
          <t>cordova.1@hotmail.com</t>
        </is>
      </c>
      <c r="C56" s="2">
        <f>?iso-8859-6?B?1+TIIM3Q4SDR4uU=?=</f>
        <v/>
      </c>
      <c r="D56" s="2" t="inlineStr">
        <is>
          <t xml:space="preserve">���� ��� ������� ������� ������� ��� ����� 67666066    Lashes Maha Alshayea  ����� �4  6010  Lashes  ��� ��� ������ ������� ������ ����� �����  ��� ������ (����� ������)-  �- ��� ��� ��������� ������ ����� ������ �������  Qurtaba  ��������  ����  ������� ���� ����� ����� ����Ǭ � ������� ��� ������ ����� ��ʬ � ������� ���� ����� </t>
        </is>
      </c>
      <c r="E56" s="4" t="inlineStr">
        <is>
          <t>67666066</t>
        </is>
      </c>
    </row>
    <row r="57" ht="18" customHeight="1">
      <c r="A57" s="5" t="inlineStr">
        <is>
          <t>Sara Alotaibi &lt;Alotaibi_sara@outlook.com&gt;</t>
        </is>
      </c>
      <c r="B57" s="6" t="inlineStr">
        <is>
          <t>Alotaibi_sara@outlook.com</t>
        </is>
      </c>
      <c r="C57" s="5" t="inlineStr">
        <is>
          <t>Re: I want to delete it please ???</t>
        </is>
      </c>
      <c r="D57" s="5"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[image0.jpeg]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t>
        </is>
      </c>
      <c r="E57" s="7" t="inlineStr">
        <is>
          <t>66998202</t>
        </is>
      </c>
    </row>
    <row r="58" ht="18" customHeight="1">
      <c r="A58" s="2" t="inlineStr">
        <is>
          <t>Mohammad Aldesayem &lt;maldesayem@gmail.com&gt;</t>
        </is>
      </c>
      <c r="B58" s="3" t="inlineStr">
        <is>
          <t>maldesayem@gmail.com</t>
        </is>
      </c>
      <c r="C58" s="2">
        <f>?utf-8?B?2YXYs9mK2KE=?=</f>
        <v/>
      </c>
      <c r="D58" s="2" t="inlineStr">
        <is>
          <t>Hello! How can we help you?  Report في، حياة : 50815551  اسم مسيء يليت مسحه Sent from my iPhone</t>
        </is>
      </c>
      <c r="E58" s="4" t="inlineStr">
        <is>
          <t>50815551</t>
        </is>
      </c>
    </row>
    <row r="59" ht="18" customHeight="1">
      <c r="A59" s="5" t="inlineStr">
        <is>
          <t>Anoud Alotaibi &lt;anoudalhabbai2@icloud.com&gt;</t>
        </is>
      </c>
      <c r="B59" s="6" t="inlineStr">
        <is>
          <t>anoudalhabbai2@icloud.com</t>
        </is>
      </c>
      <c r="C59" s="5">
        <f>?utf-8?B?2YXYs9itINin2YTYp9iz2YU=?=</f>
        <v/>
      </c>
      <c r="D59" s="5" t="inlineStr">
        <is>
          <t>Hello! How can we help you?  Report عزيز ابو سعود شيشه : 50002055   Sent from my iPhone</t>
        </is>
      </c>
      <c r="E59" s="7" t="inlineStr">
        <is>
          <t>50002055</t>
        </is>
      </c>
    </row>
    <row r="60" ht="18" customHeight="1">
      <c r="A60" s="2" t="inlineStr">
        <is>
          <t>yousef.ghanimi@gmail.com</t>
        </is>
      </c>
      <c r="B60" s="3" t="inlineStr">
        <is>
          <t>yousef.ghanimi@gmail.com</t>
        </is>
      </c>
      <c r="C60" s="2" t="inlineStr"/>
      <c r="D60" s="2" t="inlineStr">
        <is>
          <t>Hello! How can we help you?  Report الضايعه : 66766479   Sent from my iPhone</t>
        </is>
      </c>
      <c r="E60" s="4" t="inlineStr">
        <is>
          <t>66766479</t>
        </is>
      </c>
    </row>
    <row r="61" ht="18" customHeight="1">
      <c r="A61" s="5" t="inlineStr">
        <is>
          <t>Mohammed Alqassem &lt;mynup98@gmail.com&gt;</t>
        </is>
      </c>
      <c r="B61" s="6" t="inlineStr">
        <is>
          <t>mynup98@gmail.com</t>
        </is>
      </c>
      <c r="C61" s="5">
        <f>?UTF-8?B?2YHZiiDYtNmKINi62YTYtw==?=</f>
        <v/>
      </c>
      <c r="D61" s="5" t="inlineStr">
        <is>
          <t xml:space="preserve">السلام عليكم بخصوص البلوك على الرقم كل 6 شهور دزولي خلص الاشتراك ؟؟؟؟ 69666645 ما يصير الكلام هذا </t>
        </is>
      </c>
      <c r="E61" s="7" t="inlineStr">
        <is>
          <t>69666645</t>
        </is>
      </c>
    </row>
    <row r="62" ht="18" customHeight="1">
      <c r="A62" s="2" t="inlineStr">
        <is>
          <t>Rahaf Alazmi &lt;rahaf26alazmi@icloud.com&gt;</t>
        </is>
      </c>
      <c r="B62" s="3" t="inlineStr">
        <is>
          <t>rahaf26alazmi@icloud.com</t>
        </is>
      </c>
      <c r="C62" s="2">
        <f>?utf-8?B?2LHZgtmFINmF2KrYt9mB2YQg?=</f>
        <v/>
      </c>
      <c r="D62" s="2" t="inlineStr">
        <is>
          <t xml:space="preserve"> Report متطفلين حسب بلاغات من بلدك KW :     </t>
        </is>
      </c>
      <c r="E62" s="4" t="inlineStr"/>
    </row>
    <row r="63" ht="18" customHeight="1">
      <c r="A63" s="5" t="inlineStr">
        <is>
          <t>khalid almutairi &lt;5ex@live.com&gt;</t>
        </is>
      </c>
      <c r="B63" s="6" t="inlineStr">
        <is>
          <t>5ex@live.com</t>
        </is>
      </c>
      <c r="C63" s="5">
        <f>?utf-8?B?2YXZh9mFINis2K/Yp9mLINiMICDYudiv2YUg2YbYtNixINmF2LnZhNmI2YU=?=  =?utf-8?B?2KfYqtmKINin2YTYtNiu2LXZitmHIA==?=</f>
        <v/>
      </c>
      <c r="D63" s="5"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63" s="7" t="inlineStr">
        <is>
          <t>65188868</t>
        </is>
      </c>
    </row>
    <row r="64" ht="18" customHeight="1">
      <c r="A64" s="2" t="inlineStr">
        <is>
          <t>khalid almutairi &lt;5ex@live.com&gt;</t>
        </is>
      </c>
      <c r="B64" s="3" t="inlineStr">
        <is>
          <t>5ex@live.com</t>
        </is>
      </c>
      <c r="C64" s="2">
        <f>?utf-8?B?2KfZhNiz2YTYp9mFINi52YTZitmD2YUg?=</f>
        <v/>
      </c>
      <c r="D64" s="2" t="inlineStr">
        <is>
          <t xml:space="preserve">﻿  Hello! How can we help you?  Report Janam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64" s="4" t="inlineStr">
        <is>
          <t>65188868</t>
        </is>
      </c>
    </row>
    <row r="65" ht="18" customHeight="1">
      <c r="A65" s="5" t="inlineStr">
        <is>
          <t>Sarah Alturki &lt;mariam_moon@icloud.com&gt;</t>
        </is>
      </c>
      <c r="B65" s="6" t="inlineStr">
        <is>
          <t>mariam_moon@icloud.com</t>
        </is>
      </c>
      <c r="C65" s="5" t="inlineStr"/>
      <c r="D65" s="5" t="inlineStr">
        <is>
          <t>Hello! How can we help you?  Report متطفلين حسب بلاغات من بلدك KW :   Sent from my iPhone</t>
        </is>
      </c>
      <c r="E65" s="7" t="inlineStr"/>
    </row>
    <row r="66" ht="18" customHeight="1">
      <c r="A66" s="2" t="inlineStr">
        <is>
          <t>q jaber &lt;qjaber@hotmail.com&gt;</t>
        </is>
      </c>
      <c r="B66" s="3" t="inlineStr">
        <is>
          <t>qjaber@hotmail.com</t>
        </is>
      </c>
      <c r="C66" s="2" t="inlineStr"/>
      <c r="D66" s="2" t="inlineStr">
        <is>
          <t xml:space="preserve">Hello! How can we help you?  Report -الحول 999 : 99976888  ‫أُرسلت من الـ iPhone‬ </t>
        </is>
      </c>
      <c r="E66" s="4" t="inlineStr">
        <is>
          <t>99976888</t>
        </is>
      </c>
    </row>
    <row r="67" ht="18" customHeight="1">
      <c r="A67" s="5" t="inlineStr">
        <is>
          <t>abdullah abdullah &lt;a.n_q8@hotmail.com&gt;</t>
        </is>
      </c>
      <c r="B67" s="6" t="inlineStr">
        <is>
          <t>a.n_q8@hotmail.com</t>
        </is>
      </c>
      <c r="C67" s="5" t="inlineStr"/>
      <c r="D67" s="5" t="inlineStr">
        <is>
          <t xml:space="preserve">Hello! How can we help you?  Report عبدالله-ندا : 66645866  If possible can you remove the name due to privacy  </t>
        </is>
      </c>
      <c r="E67" s="7" t="inlineStr">
        <is>
          <t>66645866</t>
        </is>
      </c>
    </row>
    <row r="68" ht="18" customHeight="1">
      <c r="A68" s="2">
        <f>?utf-8?B?2KfZhNmA2YDZgNmA2YDYtdmA2YDZgNmA2YDZiNiqINin2YTZgNmA2YDZgNmA?=  =?utf-8?B?2KzZgNmA2YDZgNmA2LHZitmA2YDZgNmA2YDYrQ==?= &lt;abodi-84@hotmail.com&gt;</f>
        <v/>
      </c>
      <c r="B68" s="3" t="inlineStr">
        <is>
          <t>abodi-84@hotmail.com</t>
        </is>
      </c>
      <c r="C68" s="2">
        <f>?utf-8?B?2K3YsNmBINin2YTYsdmC2YUg2KjYtNmD2YQg2YbZh9in2KbZiiA=?=</f>
        <v/>
      </c>
      <c r="D68" s="2"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68" s="4" t="inlineStr">
        <is>
          <t>52521400</t>
        </is>
      </c>
    </row>
    <row r="69" ht="18" customHeight="1">
      <c r="A69" s="5" t="inlineStr">
        <is>
          <t>m6iyr &lt;alm6iry@hotmail.com&gt;</t>
        </is>
      </c>
      <c r="B69" s="6" t="inlineStr">
        <is>
          <t>alm6iry@hotmail.com</t>
        </is>
      </c>
      <c r="C69" s="5">
        <f>?utf-8?B?2YXZh9mFINis2K/Yp9mLINiMICDYudiv2YUg2YbYtNixINmF2LnZhNmI2YU=?=  =?utf-8?B?2KfYqtmKINin2YTYtNiu2LXZitmHIA==?=</f>
        <v/>
      </c>
      <c r="D69" s="5" t="inlineStr">
        <is>
          <t xml:space="preserve">﻿ ﻿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69" s="7" t="inlineStr">
        <is>
          <t>65188868</t>
        </is>
      </c>
    </row>
    <row r="70" ht="18" customHeight="1">
      <c r="A70" s="2" t="inlineStr">
        <is>
          <t>khalid almutairi &lt;5ex@live.com&gt;</t>
        </is>
      </c>
      <c r="B70" s="3" t="inlineStr">
        <is>
          <t>5ex@live.com</t>
        </is>
      </c>
      <c r="C70" s="2">
        <f>?utf-8?B?2KfZhNiz2YTYp9mFINi52YTZitmD2YUg?=</f>
        <v/>
      </c>
      <c r="D70" s="2" t="inlineStr">
        <is>
          <t xml:space="preserve">﻿  Hello! How can we help you?  Report حبيب قلبي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70" s="4" t="inlineStr">
        <is>
          <t>65188868</t>
        </is>
      </c>
    </row>
    <row r="71" ht="18" customHeight="1">
      <c r="A71" s="5" t="inlineStr">
        <is>
          <t>Eman Makssed &lt;eman.makssed@gmail.com&gt;</t>
        </is>
      </c>
      <c r="B71" s="6" t="inlineStr">
        <is>
          <t>eman.makssed@gmail.com</t>
        </is>
      </c>
      <c r="C71" s="5" t="inlineStr"/>
      <c r="D71" s="5" t="inlineStr">
        <is>
          <t>Hello! How can we help you?  Report تبى تمر شقه : 69060689   Sent from my iPhone</t>
        </is>
      </c>
      <c r="E71" s="7" t="inlineStr">
        <is>
          <t>69060689</t>
        </is>
      </c>
    </row>
    <row r="72" ht="18" customHeight="1">
      <c r="A72" s="2" t="inlineStr">
        <is>
          <t>Meme Koko &lt;zozoana1987@gmail.com&gt;</t>
        </is>
      </c>
      <c r="B72" s="3" t="inlineStr">
        <is>
          <t>zozoana1987@gmail.com</t>
        </is>
      </c>
      <c r="C72" s="2" t="inlineStr"/>
      <c r="D72" s="2" t="inlineStr">
        <is>
          <t xml:space="preserve">ابي اسوي بلوك حق رقمي شلون </t>
        </is>
      </c>
      <c r="E72" s="4" t="inlineStr"/>
    </row>
    <row r="73" ht="18" customHeight="1">
      <c r="A73" s="5" t="inlineStr">
        <is>
          <t>Mansour Alhussain &lt;mansouralhussain94@icloud.com&gt;</t>
        </is>
      </c>
      <c r="B73" s="6" t="inlineStr">
        <is>
          <t>mansouralhussain94@icloud.com</t>
        </is>
      </c>
      <c r="C73" s="5">
        <f>?utf-8?B?2KfYs9mFINi62YrYsSDYtdit2YrYrSA=?=</f>
        <v/>
      </c>
      <c r="D73" s="5" t="inlineStr">
        <is>
          <t>Hello! How can we help you?  Report مبارك ناصر الخشاب- : 69997950  الاسم الصحيح م منصور الحسين Sincerely, Mansour Alhussain</t>
        </is>
      </c>
      <c r="E73" s="7" t="inlineStr">
        <is>
          <t>69997950</t>
        </is>
      </c>
    </row>
    <row r="74" ht="18" customHeight="1">
      <c r="A74" s="2" t="inlineStr">
        <is>
          <t>Abdulrhman alhashemi &lt;Sealine_caravan@outlook.com&gt;</t>
        </is>
      </c>
      <c r="B74" s="3" t="inlineStr">
        <is>
          <t>Sealine_caravan@outlook.com</t>
        </is>
      </c>
      <c r="C74" s="2" t="inlineStr"/>
      <c r="D74" s="2" t="inlineStr">
        <is>
          <t xml:space="preserve">Hello! How can we help you?  Report ث147 ابو عدنان طالب شقة 300 : 55599676  I hope you remove this name Its make problem for me Sent from my iPhone </t>
        </is>
      </c>
      <c r="E74" s="4" t="inlineStr">
        <is>
          <t>55599676</t>
        </is>
      </c>
    </row>
    <row r="75" ht="18" customHeight="1">
      <c r="A75" s="5">
        <f>?utf-8?B?2LnYqNiv2KfZhNmE2Ycg2KfZhNi52YbYstmK?= &lt;aa.b.aq8@gmail.com&gt;</f>
        <v/>
      </c>
      <c r="B75" s="6" t="inlineStr">
        <is>
          <t>aa.b.aq8@gmail.com</t>
        </is>
      </c>
      <c r="C75" s="5">
        <f>?utf-8?Q?=D8=A7=D8=B1=D8=AC=D9=88_=D8=AD=D8=B0=D9=81_=D8=B1?=  =?utf-8?Q?=D9=82=D9=85=D9=8A_=D9=85=D9=86_=D9=85=D9=86=D9=88_?=  =?utf-8?Q?=D8=AF=D8=A7=D9=82_99373227?=</f>
        <v/>
      </c>
      <c r="D75" s="5" t="inlineStr">
        <is>
          <t>Hello! How can we help you?  Report عمي سمير- : 99373227   ‫أُرسلت من الـ iPhone‬</t>
        </is>
      </c>
      <c r="E75" s="7" t="inlineStr">
        <is>
          <t>99373227</t>
        </is>
      </c>
    </row>
    <row r="76" ht="18" customHeight="1">
      <c r="A76" s="2">
        <f>?utf-8?B?2LnYqNiv2KfZhNmE2Ycg2KfZhNi52YbYstmK?= &lt;aa.b.aq8@gmail.com&gt;</f>
        <v/>
      </c>
      <c r="B76" s="3" t="inlineStr">
        <is>
          <t>aa.b.aq8@gmail.com</t>
        </is>
      </c>
      <c r="C76" s="2">
        <f>?utf-8?Q?=D8=A7=D8=B1=D8=AC=D9=88_=D8=AD=D8=B0=D9=81_=D8=B1?=  =?utf-8?Q?=D9=82=D9=85=D9=8A_=D9=85=D9=86_=D9=85=D9=86=D9=88_?=  =?utf-8?Q?=D8=AF=D8=A7=D9=82_66057911?=</f>
        <v/>
      </c>
      <c r="D76" s="2" t="inlineStr">
        <is>
          <t>Hello! How can we help you?  Report علي العنزي- : 66057911   ‫أُرسلت من الـ iPhone‬</t>
        </is>
      </c>
      <c r="E76" s="4" t="inlineStr">
        <is>
          <t>66057911</t>
        </is>
      </c>
    </row>
    <row r="77" ht="18" customHeight="1">
      <c r="A77" s="5" t="inlineStr">
        <is>
          <t>R q8 &lt;drqx34@gmail.com&gt;</t>
        </is>
      </c>
      <c r="B77" s="6" t="inlineStr">
        <is>
          <t>drqx34@gmail.com</t>
        </is>
      </c>
      <c r="C77" s="5" t="inlineStr">
        <is>
          <t xml:space="preserve">Important remove </t>
        </is>
      </c>
      <c r="D77" s="5" t="inlineStr">
        <is>
          <t>Hello! How can we help you?  Report خدامتي محراث 1 : 55739831   Sent from my iPhone</t>
        </is>
      </c>
      <c r="E77" s="7" t="inlineStr">
        <is>
          <t>55739831</t>
        </is>
      </c>
    </row>
    <row r="78" ht="18" customHeight="1">
      <c r="A78" s="2" t="inlineStr">
        <is>
          <t>merengue.q8@icloud.com</t>
        </is>
      </c>
      <c r="B78" s="3" t="inlineStr">
        <is>
          <t>merengue.q8@icloud.com</t>
        </is>
      </c>
      <c r="C78" s="2" t="inlineStr"/>
      <c r="D78" s="2" t="inlineStr">
        <is>
          <t>Hello! How can we help you?  Report بطن وضهر في N9 رقمها 490 مع سد : 90902890   Sent from my iPhone</t>
        </is>
      </c>
      <c r="E78" s="4" t="inlineStr">
        <is>
          <t>90902890</t>
        </is>
      </c>
    </row>
    <row r="79" ht="18" customHeight="1">
      <c r="A79" s="5">
        <f>?UTF-8?B?2KfZhSDYs9mK2YEg2LXZiCDZgdmK?= &lt;amsyfswfy5@gmail.com&gt;</f>
        <v/>
      </c>
      <c r="B79" s="6" t="inlineStr">
        <is>
          <t>amsyfswfy5@gmail.com</t>
        </is>
      </c>
      <c r="C79" s="5" t="inlineStr"/>
      <c r="D79" s="5" t="inlineStr">
        <is>
          <t> </t>
        </is>
      </c>
      <c r="E79" s="7" t="inlineStr"/>
    </row>
    <row r="80" ht="18" customHeight="1">
      <c r="A80" s="2">
        <f>?UTF-8?B?2KfZhSDYs9mK2YEg2LXZiCDZgdmK?= &lt;amsyfswfy5@gmail.com&gt;</f>
        <v/>
      </c>
      <c r="B80" s="3" t="inlineStr">
        <is>
          <t>amsyfswfy5@gmail.com</t>
        </is>
      </c>
      <c r="C80" s="2" t="inlineStr"/>
      <c r="D80" s="2" t="inlineStr">
        <is>
          <t> </t>
        </is>
      </c>
      <c r="E80" s="4" t="inlineStr"/>
    </row>
    <row r="81" ht="18" customHeight="1">
      <c r="A81" s="5" t="inlineStr">
        <is>
          <t>f_aljadi 99 &lt;fofo99fefe@hotmail.com&gt;</t>
        </is>
      </c>
      <c r="B81" s="6" t="inlineStr">
        <is>
          <t>fofo99fefe@hotmail.com</t>
        </is>
      </c>
      <c r="C81" s="5">
        <f>?utf-8?B?2KfYsdmK2K8g2KfZhiDYp9it2LDZgSDZh9iw2Yc=?=</f>
        <v/>
      </c>
      <c r="D81" s="5" t="inlineStr">
        <is>
          <t xml:space="preserve">Hello! How can we help you?  Report فطومة مرت : 55779721  ‫أُرسلت من الـ iPhone‬ </t>
        </is>
      </c>
      <c r="E81" s="7" t="inlineStr">
        <is>
          <t>55779721</t>
        </is>
      </c>
    </row>
    <row r="82" ht="18" customHeight="1">
      <c r="A82" s="2" t="inlineStr">
        <is>
          <t>hussain gholoum &lt;bo.asd@hotmail.com&gt;</t>
        </is>
      </c>
      <c r="B82" s="3" t="inlineStr">
        <is>
          <t>bo.asd@hotmail.com</t>
        </is>
      </c>
      <c r="C82" s="2">
        <f>?utf-8?B?2YTZiCDYs9mF2K3YqtmI2Kcg2YXYs9it2YjYpyDYp9mE2KfYs9mF?=</f>
        <v/>
      </c>
      <c r="D82" s="2" t="inlineStr">
        <is>
          <t xml:space="preserve">Hello! How can we help you?  Report حسين دشتي الحرامي : 96979666  لو سمحتوا مسحوا الاسم المسيء Pls remove this name ‫أُرسلت من الـ iPhone‬ </t>
        </is>
      </c>
      <c r="E82" s="4" t="inlineStr">
        <is>
          <t>96979666</t>
        </is>
      </c>
    </row>
    <row r="83" ht="18" customHeight="1">
      <c r="A83" s="5" t="inlineStr">
        <is>
          <t>Darius k &lt;skelos007@gmail.com&gt;</t>
        </is>
      </c>
      <c r="B83" s="6" t="inlineStr">
        <is>
          <t>skelos007@gmail.com</t>
        </is>
      </c>
      <c r="C83" s="5" t="inlineStr"/>
      <c r="D83" s="5" t="inlineStr">
        <is>
          <t>Hello! How can we help you?  Report BestFriend No ~1070 : 41444776   ‫أُرسلت من الـ iPhone‬</t>
        </is>
      </c>
      <c r="E83" s="7" t="inlineStr">
        <is>
          <t>41444776</t>
        </is>
      </c>
    </row>
    <row r="84" ht="18" customHeight="1">
      <c r="A84" s="2" t="inlineStr">
        <is>
          <t>_s20l &lt;salman.aldahani@gmail.com&gt;</t>
        </is>
      </c>
      <c r="B84" s="3" t="inlineStr">
        <is>
          <t>salman.aldahani@gmail.com</t>
        </is>
      </c>
      <c r="C84" s="2">
        <f>?utf-8?B?2KfYsdis2Ygg2KfYstin2YTZhyA=?=</f>
        <v/>
      </c>
      <c r="D84" s="2" t="inlineStr">
        <is>
          <t>Hello! How can we help you?  Report سلمان ولد خالتي ريم : 55209242   ‫أُرسلت من الـ iPhone‬</t>
        </is>
      </c>
      <c r="E84" s="4" t="inlineStr">
        <is>
          <t>55209242</t>
        </is>
      </c>
    </row>
    <row r="85" ht="18" customHeight="1">
      <c r="A85" s="5" t="inlineStr">
        <is>
          <t>Noor Amir &lt;nooraliis@hotmail.com&gt;</t>
        </is>
      </c>
      <c r="B85" s="6" t="inlineStr">
        <is>
          <t>nooraliis@hotmail.com</t>
        </is>
      </c>
      <c r="C85" s="5" t="inlineStr"/>
      <c r="D85" s="5" t="inlineStr">
        <is>
          <t xml:space="preserve">إخفاء رقم 99614328   Sent from my iPhone </t>
        </is>
      </c>
      <c r="E85" s="7" t="inlineStr">
        <is>
          <t>99614328</t>
        </is>
      </c>
    </row>
    <row r="86" ht="18" customHeight="1">
      <c r="A86" s="2" t="inlineStr">
        <is>
          <t>Habeb Dashti &lt;habebdashti@icloud.com&gt;</t>
        </is>
      </c>
      <c r="B86" s="3" t="inlineStr">
        <is>
          <t>habebdashti@icloud.com</t>
        </is>
      </c>
      <c r="C86" s="2">
        <f>?utf-8?B?2YfYp9mE2YPZhNin2YUg2LrZitixINmF2LPZhdmI2K0g2KfYsdis?=  =?utf-8?B?2Ygg2YXYs9it2Yc=?=</f>
        <v/>
      </c>
      <c r="D86" s="2" t="inlineStr">
        <is>
          <t>Hello! How can we help you?  Report حبي و مستقبل غيري - : 97569944   Sent from my iPhone</t>
        </is>
      </c>
      <c r="E86" s="4" t="inlineStr">
        <is>
          <t>97569944</t>
        </is>
      </c>
    </row>
    <row r="87" ht="18" customHeight="1">
      <c r="A87" s="5">
        <f>?utf-8?B?2YrZiNiz2YEg2KfZhNi52KzZhdmK?= &lt;alajmi11_8@hotmail.com&gt;</f>
        <v/>
      </c>
      <c r="B87" s="6" t="inlineStr">
        <is>
          <t>alajmi11_8@hotmail.com</t>
        </is>
      </c>
      <c r="C87" s="5">
        <f>?utf-8?B?2KfYs9mFINi62YrYsSDYtdin2YTYrSDZitix2KzZiSDYp9mE2LrYp9ih2Yc=?=</f>
        <v/>
      </c>
      <c r="D87" s="5" t="inlineStr">
        <is>
          <t xml:space="preserve">Hello! How can we help you?  Report يوسف شلاش بوجغيره : 52525681  ‫أُرسلت من الـ iPhone‬ </t>
        </is>
      </c>
      <c r="E87" s="7" t="inlineStr">
        <is>
          <t>52525681</t>
        </is>
      </c>
    </row>
    <row r="88" ht="18" customHeight="1">
      <c r="A88" s="2" t="inlineStr">
        <is>
          <t>Dj BooSt Q8 &lt;djboostq8@gmail.com&gt;</t>
        </is>
      </c>
      <c r="B88" s="3" t="inlineStr">
        <is>
          <t>djboostq8@gmail.com</t>
        </is>
      </c>
      <c r="C88" s="2">
        <f>?utf-8?B?2KfZhNi62KfYoSDYp9iz2YUg2YLYr9mK2YU=?=</f>
        <v/>
      </c>
      <c r="D88" s="2" t="inlineStr">
        <is>
          <t>Hello! How can we help you?  Report محسن دي جي بوست : 50450063   ‫أُرسلت من الـ iPhone‬</t>
        </is>
      </c>
      <c r="E88" s="4" t="inlineStr">
        <is>
          <t>50450063</t>
        </is>
      </c>
    </row>
    <row r="89" ht="18" customHeight="1">
      <c r="A89" s="5" t="inlineStr">
        <is>
          <t>TuooFiYa Alm &lt;tuoofiya@gmail.com&gt;</t>
        </is>
      </c>
      <c r="B89" s="6" t="inlineStr">
        <is>
          <t>tuoofiya@gmail.com</t>
        </is>
      </c>
      <c r="C89" s="5" t="inlineStr"/>
      <c r="D89" s="5" t="inlineStr">
        <is>
          <t>Hello! How can we help you?  Report Director Sec Ibn Sina : 97944923   Sent from my iPhone</t>
        </is>
      </c>
      <c r="E89" s="7" t="inlineStr">
        <is>
          <t>97944923</t>
        </is>
      </c>
    </row>
    <row r="90" ht="18" customHeight="1">
      <c r="A90" s="2" t="inlineStr">
        <is>
          <t>Raghad Alajmi &lt;rosealsh3lan@gmail.com&gt;</t>
        </is>
      </c>
      <c r="B90" s="3" t="inlineStr">
        <is>
          <t>rosealsh3lan@gmail.com</t>
        </is>
      </c>
      <c r="C90" s="2">
        <f>?utf-8?B?UmU6INmH2LDYpyDYp9mE2KfYs9mFINmE2Kcg2YrYrti12YbZiiA=?=  =?utf-8?B?2YjZitiz2KjYqCDZhNmKINin2LLYudin2Kwg2LXYp9it2Kgg2Kc=?=  =?utf-8?B?2YTYrti3INin2YTZgtiv2YrZhQ==?=</f>
        <v/>
      </c>
      <c r="D90" s="2" t="inlineStr">
        <is>
          <t xml:space="preserve">﻿ ﻿  ‫أُرسلت من الـ iPhone‬  &gt; ‫في 28‏/10‏/2025 الساعة 9:10 م، كتب/كتبت ‏Raghad Alajmi ‏&lt;rosealsh3lan@gmail.com&gt;:‬ &gt; ﻿ &gt; Hello! How can we help you? &gt;  &gt; Report شفوي اختي الجديد نور عيني 2 : 56667565 &gt;  &gt;  &gt; ‫أُرسلت من الـ iPhone‬ </t>
        </is>
      </c>
      <c r="E90" s="4" t="inlineStr">
        <is>
          <t>56667565</t>
        </is>
      </c>
    </row>
    <row r="91" ht="18" customHeight="1">
      <c r="A91" s="5" t="inlineStr">
        <is>
          <t>Raghad Alajmi &lt;rosealsh3lan@gmail.com&gt;</t>
        </is>
      </c>
      <c r="B91" s="6" t="inlineStr">
        <is>
          <t>rosealsh3lan@gmail.com</t>
        </is>
      </c>
      <c r="C91" s="5">
        <f>?utf-8?B?UmU6INmH2LDYpyDYp9mE2KfYs9mFINmE2Kcg2YrYrti12YbZiiA=?=  =?utf-8?B?2YjZitiz2KjYqCDZhNmKINin2LLYudin2Kwg2LXYp9it2Kgg2Kc=?=  =?utf-8?B?2YTYrti3INin2YTZgtiv2YrZhQ==?=</f>
        <v/>
      </c>
      <c r="D91" s="5" t="inlineStr">
        <is>
          <t xml:space="preserve">﻿  ‫أُرسلت من الـ iPhone‬  &gt; ‫في 28‏/10‏/2025 الساعة 9:10 م، كتب/كتبت ‏Raghad Alajmi ‏&lt;rosealsh3lan@gmail.com&gt;:‬ &gt; ﻿ &gt; Hello! How can we help you? &gt;  &gt; Report شفوي اختي الجديد نور عيني 2 : 56667565 &gt;  &gt;  &gt; ‫أُرسلت من الـ iPhone‬ </t>
        </is>
      </c>
      <c r="E91" s="7" t="inlineStr">
        <is>
          <t>56667565</t>
        </is>
      </c>
    </row>
    <row r="92" ht="18" customHeight="1">
      <c r="A92" s="2" t="inlineStr">
        <is>
          <t>Raghad Alajmi &lt;rosealsh3lan@gmail.com&gt;</t>
        </is>
      </c>
      <c r="B92" s="3" t="inlineStr">
        <is>
          <t>rosealsh3lan@gmail.com</t>
        </is>
      </c>
      <c r="C92" s="2">
        <f>?utf-8?B?UmU6INmH2LDYpyDYp9mE2KfYs9mFINmE2Kcg2YrYrti12YbZiiA=?=  =?utf-8?B?2YjZitiz2KjYqCDZhNmKINin2LLYudin2Kwg2LXYp9it2Kgg2Kc=?=  =?utf-8?B?2YTYrti3INin2YTZgtiv2YrZhQ==?=</f>
        <v/>
      </c>
      <c r="D92"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2" s="4" t="inlineStr">
        <is>
          <t>56667565</t>
        </is>
      </c>
    </row>
    <row r="93" ht="18" customHeight="1">
      <c r="A93" s="5" t="inlineStr">
        <is>
          <t>Raghad Alajmi &lt;rosealsh3lan@gmail.com&gt;</t>
        </is>
      </c>
      <c r="B93" s="6" t="inlineStr">
        <is>
          <t>rosealsh3lan@gmail.com</t>
        </is>
      </c>
      <c r="C93" s="5">
        <f>?utf-8?B?UmU6INmH2LDYpyDYp9mE2KfYs9mFINmE2Kcg2YrYrti12YbZiiA=?=  =?utf-8?B?2YjZitiz2KjYqCDZhNmKINin2LLYudin2Kwg2LXYp9it2Kgg2Kc=?=  =?utf-8?B?2YTYrti3INin2YTZgtiv2YrZhQ==?=</f>
        <v/>
      </c>
      <c r="D93" s="5"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3" s="7" t="inlineStr">
        <is>
          <t>56667565</t>
        </is>
      </c>
    </row>
    <row r="94" ht="18" customHeight="1">
      <c r="A94" s="2" t="inlineStr">
        <is>
          <t>Raghad Alajmi &lt;rosealsh3lan@gmail.com&gt;</t>
        </is>
      </c>
      <c r="B94" s="3" t="inlineStr">
        <is>
          <t>rosealsh3lan@gmail.com</t>
        </is>
      </c>
      <c r="C94" s="2">
        <f>?utf-8?B?UmU6INmH2LDYpyDYp9mE2KfYs9mFINmE2Kcg2YrYrti12YbZiiA=?=  =?utf-8?B?2YjZitiz2KjYqCDZhNmKINin2LLYudin2Kwg2LXYp9it2Kgg2Kc=?=  =?utf-8?B?2YTYrti3INin2YTZgtiv2YrZhQ==?=</f>
        <v/>
      </c>
      <c r="D94"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4" s="4" t="inlineStr">
        <is>
          <t>56667565</t>
        </is>
      </c>
    </row>
    <row r="95" ht="18" customHeight="1">
      <c r="A95" s="5" t="inlineStr">
        <is>
          <t>Raghad Alajmi &lt;rosealsh3lan@gmail.com&gt;</t>
        </is>
      </c>
      <c r="B95" s="6" t="inlineStr">
        <is>
          <t>rosealsh3lan@gmail.com</t>
        </is>
      </c>
      <c r="C95" s="5">
        <f>?utf-8?B?UmU6INmH2LDYpyDYp9mE2KfYs9mFINmE2Kcg2YrYrti12YbZiiA=?=  =?utf-8?B?2YjZitiz2KjYqCDZhNmKINin2LLYudin2Kwg2LXYp9it2Kgg2Kc=?=  =?utf-8?B?2YTYrti3INin2YTZgtiv2YrZhQ==?=</f>
        <v/>
      </c>
      <c r="D95" s="5"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5" s="7" t="inlineStr">
        <is>
          <t>56667565</t>
        </is>
      </c>
    </row>
    <row r="96" ht="18" customHeight="1">
      <c r="A96" s="2" t="inlineStr">
        <is>
          <t>Raghad Alajmi &lt;rosealsh3lan@gmail.com&gt;</t>
        </is>
      </c>
      <c r="B96" s="3" t="inlineStr">
        <is>
          <t>rosealsh3lan@gmail.com</t>
        </is>
      </c>
      <c r="C96" s="2">
        <f>?utf-8?B?UmU6INmH2LDYpyDYp9mE2KfYs9mFINmE2Kcg2YrYrti12YbZiiA=?=  =?utf-8?B?2YjZitiz2KjYqCDZhNmKINin2LLYudin2Kwg2LXYp9it2Kgg2Kc=?=  =?utf-8?B?2YTYrti3INin2YTZgtiv2YrZhQ==?=</f>
        <v/>
      </c>
      <c r="D96"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6" s="4" t="inlineStr">
        <is>
          <t>56667565</t>
        </is>
      </c>
    </row>
    <row r="97" ht="18" customHeight="1">
      <c r="A97" s="5" t="inlineStr">
        <is>
          <t>Raghad Alajmi &lt;rosealsh3lan@gmail.com&gt;</t>
        </is>
      </c>
      <c r="B97" s="6" t="inlineStr">
        <is>
          <t>rosealsh3lan@gmail.com</t>
        </is>
      </c>
      <c r="C97" s="5">
        <f>?utf-8?B?UmU6INmH2LDYpyDYp9mE2KfYs9mFINmE2Kcg2YrYrti12YbZiiA=?=  =?utf-8?B?2YjZitiz2KjYqCDZhNmKINin2LLYudin2Kwg2LXYp9it2Kgg2Kc=?=  =?utf-8?B?2YTYrti3INin2YTZgtiv2YrZhQ==?=</f>
        <v/>
      </c>
      <c r="D97" s="5"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7" s="7" t="inlineStr">
        <is>
          <t>56667565</t>
        </is>
      </c>
    </row>
    <row r="98" ht="18" customHeight="1">
      <c r="A98" s="2" t="inlineStr">
        <is>
          <t>Raghad Alajmi &lt;rosealsh3lan@gmail.com&gt;</t>
        </is>
      </c>
      <c r="B98" s="3" t="inlineStr">
        <is>
          <t>rosealsh3lan@gmail.com</t>
        </is>
      </c>
      <c r="C98" s="2">
        <f>?utf-8?B?UmU6INmH2LDYpyDYp9mE2KfYs9mFINmE2Kcg2YrYrti12YbZiiA=?=  =?utf-8?B?2YjZitiz2KjYqCDZhNmKINin2LLYudin2Kwg2LXYp9it2Kgg2Kc=?=  =?utf-8?B?2YTYrti3INin2YTZgtiv2YrZhQ==?=</f>
        <v/>
      </c>
      <c r="D98"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98" s="4" t="inlineStr">
        <is>
          <t>56667565</t>
        </is>
      </c>
    </row>
    <row r="99" ht="18" customHeight="1">
      <c r="A99" s="5" t="inlineStr">
        <is>
          <t>Raghad Alajmi &lt;rosealsh3lan@gmail.com&gt;</t>
        </is>
      </c>
      <c r="B99" s="6" t="inlineStr">
        <is>
          <t>rosealsh3lan@gmail.com</t>
        </is>
      </c>
      <c r="C99" s="5">
        <f>?utf-8?B?UmU6INmH2LDYpyDYp9mE2KfYs9mFINmE2Kcg2YrYrti12YbZiiA=?=  =?utf-8?B?2YjZitiz2KjYqCDZhNmKINin2LLYudin2Kwg2LXYp9it2Kgg2Kc=?=  =?utf-8?B?2YTYrti3INin2YTZgtiv2YrZhQ==?=</f>
        <v/>
      </c>
      <c r="D99" s="5" t="inlineStr">
        <is>
          <t xml:space="preserve"> ‫أُرسلت من الـ iPhone‬  &gt; ‫في 28‏/10‏/2025 الساعة 9:11 م، كتب/كتبت ‏Raghad Alajmi ‏&lt;rosealsh3lan@gmail.com&gt;:‬ &gt;  &gt; ﻿ &gt; Hello! How can we help you? &gt;  &gt; Report شفيا الشعلان : 56667565 &gt;  &gt;  &gt; ‫أُرسلت من الـ iPhone‬ </t>
        </is>
      </c>
      <c r="E99" s="7" t="inlineStr">
        <is>
          <t>56667565</t>
        </is>
      </c>
    </row>
    <row r="100" ht="18" customHeight="1">
      <c r="A100" s="2" t="inlineStr">
        <is>
          <t>Raghad Alajmi &lt;rosealsh3lan@gmail.com&gt;</t>
        </is>
      </c>
      <c r="B100" s="3" t="inlineStr">
        <is>
          <t>rosealsh3lan@gmail.com</t>
        </is>
      </c>
      <c r="C100" s="2">
        <f>?utf-8?B?UmU6INmH2LDYpyDYp9mE2KfYs9mFINmE2Kcg2YrYrti12YbZiiA=?=  =?utf-8?B?2YjZitiz2KjYqCDZhNmKINin2LLYudin2Kwg2LXYp9it2Kgg2Kc=?=  =?utf-8?B?2YTYrti3INin2YTZgtiv2YrZhQ==?=</f>
        <v/>
      </c>
      <c r="D100" s="2" t="inlineStr">
        <is>
          <t xml:space="preserve"> ‫أُرسلت من الـ iPhone‬  &gt; ‫في 28‏/10‏/2025 الساعة 9:10 م، كتب/كتبت ‏Raghad Alajmi ‏&lt;rosealsh3lan@gmail.com&gt;:‬ &gt;  &gt; ﻿ &gt; Hello! How can we help you? &gt;  &gt; Report شفوي اختي الجديد نور عيني 2 : 56667565 &gt;  &gt;  &gt; ‫أُرسلت من الـ iPhone‬ </t>
        </is>
      </c>
      <c r="E100" s="4" t="inlineStr">
        <is>
          <t>56667565</t>
        </is>
      </c>
    </row>
    <row r="101" ht="18" customHeight="1">
      <c r="A101" s="5" t="inlineStr">
        <is>
          <t>Raghad Alajmi &lt;rosealsh3lan@gmail.com&gt;</t>
        </is>
      </c>
      <c r="B101" s="6" t="inlineStr">
        <is>
          <t>rosealsh3lan@gmail.com</t>
        </is>
      </c>
      <c r="C101" s="5">
        <f>?utf-8?B?UmU6INmH2LDYpyDYp9mE2KfYs9mFINmE2Kcg2YrYrti12YbZiiA=?=  =?utf-8?B?2YjZitiz2KjYqCDZhNmKINin2LLYudin2Kwg2LXYp9it2Kgg2Kc=?=  =?utf-8?B?2YTYrti3INin2YTZgtiv2YrZhQ==?=</f>
        <v/>
      </c>
      <c r="D101" s="5" t="inlineStr">
        <is>
          <t xml:space="preserve"> ‫أُرسلت من الـ iPhone‬  &gt; ‫في 28‏/10‏/2025 الساعة 9:11 م، كتب/كتبت ‏Raghad Alajmi ‏&lt;rosealsh3lan@gmail.com&gt;:‬ &gt;  &gt; ﻿ &gt; Hello! How can we help you? &gt;  &gt; Report شفيا الشعلان : 56667565 &gt;  &gt;  &gt; ‫أُرسلت من الـ iPhone‬ </t>
        </is>
      </c>
      <c r="E101" s="7" t="inlineStr">
        <is>
          <t>56667565</t>
        </is>
      </c>
    </row>
    <row r="102" ht="18" customHeight="1">
      <c r="A102" s="2" t="inlineStr">
        <is>
          <t>Raghad Alajmi &lt;rosealsh3lan@gmail.com&gt;</t>
        </is>
      </c>
      <c r="B102" s="3" t="inlineStr">
        <is>
          <t>rosealsh3lan@gmail.com</t>
        </is>
      </c>
      <c r="C102" s="2">
        <f>?utf-8?B?UmU6INmH2LDYpyDYp9mE2KfYs9mFINmE2Kcg2YrYrti12YbZiiA=?=  =?utf-8?B?2YjZitiz2KjYqCDZhNmKINin2LLYudin2Kwg2LXYp9it2Kgg2Kc=?=  =?utf-8?B?2YTYrti3INin2YTZgtiv2YrZhQ==?=</f>
        <v/>
      </c>
      <c r="D102" s="2" t="inlineStr">
        <is>
          <t xml:space="preserve"> ‫أُرسلت من الـ iPhone‬  &gt; ‫في 28‏/10‏/2025 الساعة 9:11 م، كتب/كتبت ‏Raghad Alajmi ‏&lt;rosealsh3lan@gmail.com&gt;:‬ &gt;  &gt; ﻿ &gt; Hello! How can we help you? &gt;  &gt; Report شافيه العجمي جديده : 56667565 &gt;  &gt;  &gt; ‫أُرسلت من الـ iPhone‬ </t>
        </is>
      </c>
      <c r="E102" s="4" t="inlineStr">
        <is>
          <t>56667565</t>
        </is>
      </c>
    </row>
    <row r="103" ht="18" customHeight="1">
      <c r="A103" s="5" t="inlineStr">
        <is>
          <t>Raghad Alajmi &lt;rosealsh3lan@gmail.com&gt;</t>
        </is>
      </c>
      <c r="B103" s="6" t="inlineStr">
        <is>
          <t>rosealsh3lan@gmail.com</t>
        </is>
      </c>
      <c r="C103" s="5">
        <f>?utf-8?B?UmU6INmH2LDYpyDYp9mE2KfYs9mFINmE2Kcg2YrYrti12YbZiiA=?=  =?utf-8?B?2YjZitiz2KjYqCDZhNmKINin2LLYudin2Kwg2LXYp9it2Kgg2Kc=?=  =?utf-8?B?2YTYrti3INin2YTZgtiv2YrZhQ==?=</f>
        <v/>
      </c>
      <c r="D103" s="5" t="inlineStr">
        <is>
          <t xml:space="preserve"> ‫أُرسلت من الـ iPhone‬  &gt; ‫في 28‏/10‏/2025 الساعة 9:11 م، كتب/كتبت ‏Raghad Alajmi ‏&lt;rosealsh3lan@gmail.com&gt;:‬ &gt;  &gt; ﻿ &gt; Hello! How can we help you? &gt;  &gt; Report شافيه العجمي جديده : 56667565 &gt;  &gt;  &gt; ‫أُرسلت من الـ iPhone‬ </t>
        </is>
      </c>
      <c r="E103" s="7" t="inlineStr">
        <is>
          <t>56667565</t>
        </is>
      </c>
    </row>
    <row r="104" ht="18" customHeight="1">
      <c r="A104" s="2" t="inlineStr">
        <is>
          <t>Raghad Alajmi &lt;rosealsh3lan@gmail.com&gt;</t>
        </is>
      </c>
      <c r="B104" s="3" t="inlineStr">
        <is>
          <t>rosealsh3lan@gmail.com</t>
        </is>
      </c>
      <c r="C104" s="2">
        <f>?utf-8?B?UmU6INmH2LDYpyDYp9mE2KfYs9mFINmE2Kcg2YrYrti12YbZiiA=?=  =?utf-8?B?2YjZitiz2KjYqCDZhNmKINin2LLYudin2Kwg2LXYp9it2Kgg2Kc=?=  =?utf-8?B?2YTYrti3INin2YTZgtiv2YrZhQ==?=</f>
        <v/>
      </c>
      <c r="D104" s="2" t="inlineStr">
        <is>
          <t xml:space="preserve"> ‫أُرسلت من الـ iPhone‬  &gt; ‫في 28‏/10‏/2025 الساعة 9:11 م، كتب/كتبت ‏Raghad Alajmi ‏&lt;rosealsh3lan@gmail.com&gt;:‬ &gt;  &gt; ﻿ &gt; Hello! How can we help you? &gt;  &gt; Report رغد (شفيا العجمي) : 56667565 &gt;  &gt;  &gt; ‫أُرسلت من الـ iPhone‬ </t>
        </is>
      </c>
      <c r="E104" s="4" t="inlineStr">
        <is>
          <t>56667565</t>
        </is>
      </c>
    </row>
    <row r="105" ht="18" customHeight="1">
      <c r="A105" s="5" t="inlineStr">
        <is>
          <t>Raghad Alajmi &lt;rosealsh3lan@gmail.com&gt;</t>
        </is>
      </c>
      <c r="B105" s="6" t="inlineStr">
        <is>
          <t>rosealsh3lan@gmail.com</t>
        </is>
      </c>
      <c r="C105" s="5">
        <f>?utf-8?B?UmU6INmH2LDYpyDYp9mE2KfYs9mFINmE2Kcg2YrYrti12YbZiiA=?=  =?utf-8?B?2YjZitiz2KjYqCDZhNmKINin2LLYudin2Kwg2LXYp9it2Kgg2Kc=?=  =?utf-8?B?2YTYrti3INin2YTZgtiv2YrZhQ==?=</f>
        <v/>
      </c>
      <c r="D105" s="5" t="inlineStr">
        <is>
          <t xml:space="preserve"> ‫أُرسلت من الـ iPhone‬  &gt; ‫في 28‏/10‏/2025 الساعة 9:09 م، كتب/كتبت ‏Raghad Alajmi ‏&lt;rosealsh3lan@gmail.com&gt;:‬ &gt;  &gt; ﻿ &gt; Hello! How can we help you? &gt;  &gt; Report ‏ ‏ ‏أم ‏حمد ‏‏شفوي ‏ : 56667565 &gt;  &gt;  &gt; ‫أُرسلت من الـ iPhone‬ </t>
        </is>
      </c>
      <c r="E105" s="7" t="inlineStr">
        <is>
          <t>56667565</t>
        </is>
      </c>
    </row>
    <row r="106" ht="18" customHeight="1">
      <c r="A106" s="2" t="inlineStr">
        <is>
          <t>Raghad Alajmi &lt;rosealsh3lan@gmail.com&gt;</t>
        </is>
      </c>
      <c r="B106" s="3" t="inlineStr">
        <is>
          <t>rosealsh3lan@gmail.com</t>
        </is>
      </c>
      <c r="C106" s="2">
        <f>?utf-8?B?UmU6INmH2LDYpyDYp9mE2KfYs9mFINmE2Kcg2YrYrti12YbZiiA=?=  =?utf-8?B?2YjZitiz2KjYqCDZhNmKINin2LLYudin2Kwg2LXYp9it2Kgg2Kc=?=  =?utf-8?B?2YTYrti3INin2YTZgtiv2YrZhQ==?=</f>
        <v/>
      </c>
      <c r="D106" s="2" t="inlineStr">
        <is>
          <t xml:space="preserve"> ‫أُرسلت من الـ iPhone‬  &gt; ‫في 28‏/10‏/2025 الساعة 9:09 م، كتب/كتبت ‏Raghad Alajmi ‏&lt;rosealsh3lan@gmail.com&gt;:‬ &gt;  &gt; ﻿ &gt; Hello! How can we help you? &gt;  &gt; Report ‏ ‏ ‏أم ‏حمد ‏‏شفوي ‏ : 56667565 &gt;  &gt;  &gt; ‫أُرسلت من الـ iPhone‬ </t>
        </is>
      </c>
      <c r="E106" s="4" t="inlineStr">
        <is>
          <t>56667565</t>
        </is>
      </c>
    </row>
    <row r="107" ht="18" customHeight="1">
      <c r="A107" s="5" t="inlineStr">
        <is>
          <t>Raghad Alajmi &lt;rosealsh3lan@gmail.com&gt;</t>
        </is>
      </c>
      <c r="B107" s="6" t="inlineStr">
        <is>
          <t>rosealsh3lan@gmail.com</t>
        </is>
      </c>
      <c r="C107" s="5">
        <f>?utf-8?B?UmU6INmH2YbYp9mDINin2LPZhdin2KEg2YTYpyDYqtiu2LXZhtmK?=  =?utf-8?B?INmF2LPYrNmE2Ycg2LnZhNmJINmH2LDYpyDYp9mE2LHZgtmFINmI?=  =?utf-8?B?2YPYsNmE2YMg2LnZhtmI2KfZhiDYp9mE2LPZg9mGINmF2LPYrNmE?=  =?utf-8?B?INmI2YfYsNinINin2YbYqtmH2KfZgyDZhNmE2K7YtdmI2LXZitmH?=  =?utf-8?B?INin2LHYrNmIINmF2LPYrSDYp9mE2KjZitin2YbYp9iqINin2YQ=?=  =?utf-8?B?2YLYr9mK2YXZhyDYp9it2KrYsdin2YXYpyDZhNiu2LXZiNi12Yo=?=  =?utf-8?B?2KrZiiDZiCDZhNin2YbZhyDYqNi52LYg2KfZhNin2LTYrtin2LUg?=  =?utf-8?B?2YrYqtmI2KfYtdmE2YjZhiDZhdi52Yog2YrYuNmG2YjZhiDYp9mG?=  =?utf-8?B?2Yog2LXYp9it2KjYqSDYp9mE2K7YtyDYp9mE2YLYr9mK2YUg?=</f>
        <v/>
      </c>
      <c r="D107" s="5" t="inlineStr">
        <is>
          <t xml:space="preserve"> ‫أُرسلت من الـ iPhone‬  &gt; ‫في 28‏/10‏/2025 الساعة 9:14 م، كتب/كتبت ‏Raghad Alajmi ‏&lt;rosealsh3lan@gmail.com&gt;:‬ &gt;  &gt; ﻿ &gt; Hello! How can we help you? &gt;  &gt; Report متطفلين حسب بلاغات من بلدك KW : &gt;  &gt;  &gt; ‫أُرسلت من الـ iPhone‬ </t>
        </is>
      </c>
      <c r="E107" s="7" t="inlineStr"/>
    </row>
    <row r="108" ht="18" customHeight="1">
      <c r="A108" s="2" t="inlineStr">
        <is>
          <t>Raghad Alajmi &lt;rosealsh3lan@gmail.com&gt;</t>
        </is>
      </c>
      <c r="B108" s="3" t="inlineStr">
        <is>
          <t>rosealsh3lan@gmail.com</t>
        </is>
      </c>
      <c r="C108" s="2">
        <f>?utf-8?B?UmU6INmH2LDYpyDYp9mE2KfYs9mFINmE2Kcg2YrYrti12YbZiiA=?=  =?utf-8?B?2YjZitiz2KjYqCDZhNmKINin2LLYudin2Kwg2LXYp9it2Kgg2Kc=?=  =?utf-8?B?2YTYrti3INin2YTZgtiv2YrZhQ==?=</f>
        <v/>
      </c>
      <c r="D108" s="2" t="inlineStr">
        <is>
          <t xml:space="preserve"> ‫أُرسلت من الـ iPhone‬  &gt; ‫في 28‏/10‏/2025 الساعة 9:10 م، كتب/كتبت ‏Raghad Alajmi ‏&lt;rosealsh3lan@gmail.com&gt;:‬ &gt;  &gt; ﻿ &gt; Hello! How can we help you? &gt;  &gt; Report شفوي بنت شعلان : 56667565 &gt;  &gt;  &gt; ‫أُرسلت من الـ iPhone‬ </t>
        </is>
      </c>
      <c r="E108" s="4" t="inlineStr">
        <is>
          <t>56667565</t>
        </is>
      </c>
    </row>
    <row r="109" ht="18" customHeight="1">
      <c r="A109" s="5" t="inlineStr">
        <is>
          <t>Raghad Alajmi &lt;rosealsh3lan@gmail.com&gt;</t>
        </is>
      </c>
      <c r="B109" s="6" t="inlineStr">
        <is>
          <t>rosealsh3lan@gmail.com</t>
        </is>
      </c>
      <c r="C109" s="5">
        <f>?utf-8?B?UmU6INmH2LDYpyDYp9mE2KfYs9mFINmE2Kcg2YrYrti12YbZiiA=?=  =?utf-8?B?2YjZitiz2KjYqCDZhNmKINin2LLYudin2Kwg2LXYp9it2Kgg2Kc=?=  =?utf-8?B?2YTYrti3INin2YTZgtiv2YrZhQ==?=</f>
        <v/>
      </c>
      <c r="D109" s="5" t="inlineStr">
        <is>
          <t xml:space="preserve"> ‫أُرسلت من الـ iPhone‬  &gt; ‫في 28‏/10‏/2025 الساعة 9:10 م، كتب/كتبت ‏Raghad Alajmi ‏&lt;rosealsh3lan@gmail.com&gt;:‬ &gt;  &gt; ﻿ &gt; Hello! How can we help you? &gt;  &gt; Report Shafya al3jmi : 56667565 &gt;  &gt;  &gt; ‫أُرسلت من الـ iPhone‬ </t>
        </is>
      </c>
      <c r="E109" s="7" t="inlineStr">
        <is>
          <t>56667565</t>
        </is>
      </c>
    </row>
    <row r="110" ht="18" customHeight="1">
      <c r="A110" s="2" t="inlineStr">
        <is>
          <t>Raghad Alajmi &lt;rosealsh3lan@gmail.com&gt;</t>
        </is>
      </c>
      <c r="B110" s="3" t="inlineStr">
        <is>
          <t>rosealsh3lan@gmail.com</t>
        </is>
      </c>
      <c r="C110" s="2">
        <f>?utf-8?B?UmU6INmH2LDYpyDYp9mE2KfYs9mFINmE2Kcg2YrYrti12YbZiiA=?=  =?utf-8?B?2YjZitiz2KjYqCDZhNmKINin2LLYudin2Kwg2LXYp9it2Kgg2Kc=?=  =?utf-8?B?2YTYrti3INin2YTZgtiv2YrZhQ==?=</f>
        <v/>
      </c>
      <c r="D110" s="2" t="inlineStr">
        <is>
          <t xml:space="preserve"> ‫أُرسلت من الـ iPhone‬  &gt; ‫في 28‏/10‏/2025 الساعة 9:10 م، كتب/كتبت ‏Raghad Alajmi ‏&lt;rosealsh3lan@gmail.com&gt;:‬ &gt;  &gt; ﻿ &gt; Hello! How can we help you? &gt;  &gt; Report Shafya al3jmi : 56667565 &gt;  &gt;  &gt; ‫أُرسلت من الـ iPhone‬ </t>
        </is>
      </c>
      <c r="E110" s="4" t="inlineStr">
        <is>
          <t>56667565</t>
        </is>
      </c>
    </row>
    <row r="111" ht="18" customHeight="1">
      <c r="A111" s="5" t="inlineStr">
        <is>
          <t>Raghad Alajmi &lt;rosealsh3lan@gmail.com&gt;</t>
        </is>
      </c>
      <c r="B111" s="6" t="inlineStr">
        <is>
          <t>rosealsh3lan@gmail.com</t>
        </is>
      </c>
      <c r="C111" s="5">
        <f>?utf-8?B?UmU6INmH2LDYpyDYp9mE2KfYs9mFINmE2Kcg2YrYrti12YbZiiA=?=  =?utf-8?B?2YjZitiz2KjYqCDZhNmKINin2LLYudin2Kwg2LXYp9it2Kgg2Kc=?=  =?utf-8?B?2YTYrti3INin2YTZgtiv2YrZhQ==?=</f>
        <v/>
      </c>
      <c r="D111" s="5" t="inlineStr">
        <is>
          <t xml:space="preserve"> ‫أُرسلت من الـ iPhone‬  &gt; ‫في 28‏/10‏/2025 الساعة 9:10 م، كتب/كتبت ‏Raghad Alajmi ‏&lt;rosealsh3lan@gmail.com&gt;:‬ &gt;  &gt; ﻿ &gt; Hello! How can we help you? &gt;  &gt; Report شفوي بنت شعلان : 56667565 &gt;  &gt;  &gt; ‫أُرسلت من الـ iPhone‬ </t>
        </is>
      </c>
      <c r="E111" s="7" t="inlineStr">
        <is>
          <t>56667565</t>
        </is>
      </c>
    </row>
    <row r="112" ht="18" customHeight="1">
      <c r="A112" s="2" t="inlineStr">
        <is>
          <t>Raghad Alajmi &lt;rosealsh3lan@gmail.com&gt;</t>
        </is>
      </c>
      <c r="B112" s="3" t="inlineStr">
        <is>
          <t>rosealsh3lan@gmail.com</t>
        </is>
      </c>
      <c r="C112" s="2">
        <f>?utf-8?B?UmU6INmH2LDYpyDYp9mE2KfYs9mFINmE2Kcg2YrYrti12YbZiiA=?=  =?utf-8?B?2YjZitiz2KjYqCDZhNmKINin2LLYudin2Kwg2LXYp9it2Kgg2Kc=?=  =?utf-8?B?2YTYrti3INin2YTZgtiv2YrZhQ==?=</f>
        <v/>
      </c>
      <c r="D112" s="2" t="inlineStr">
        <is>
          <t xml:space="preserve"> ‫أُرسلت من الـ iPhone‬  &gt; ‫في 28‏/10‏/2025 الساعة 9:10 م، كتب/كتبت ‏Raghad Alajmi ‏&lt;rosealsh3lan@gmail.com&gt;:‬ &gt;  &gt; ﻿ &gt; Hello! How can we help you? &gt;  &gt; Report شفيا العجمي اسلامية : 56667565 &gt;  &gt;  &gt; ‫أُرسلت من الـ iPhone‬ </t>
        </is>
      </c>
      <c r="E112" s="4" t="inlineStr">
        <is>
          <t>56667565</t>
        </is>
      </c>
    </row>
    <row r="113" ht="18" customHeight="1">
      <c r="A113" s="5" t="inlineStr">
        <is>
          <t>Raghad Alajmi &lt;rosealsh3lan@gmail.com&gt;</t>
        </is>
      </c>
      <c r="B113" s="6" t="inlineStr">
        <is>
          <t>rosealsh3lan@gmail.com</t>
        </is>
      </c>
      <c r="C113" s="5">
        <f>?utf-8?B?UmU6INmH2LDYpyDYp9mE2KfYs9mFINmE2Kcg2YrYrti12YbZiiA=?=  =?utf-8?B?2YjZitiz2KjYqCDZhNmKINin2LLYudin2Kwg2LXYp9it2Kgg2Kc=?=  =?utf-8?B?2YTYrti3INin2YTZgtiv2YrZhQ==?=</f>
        <v/>
      </c>
      <c r="D113" s="5" t="inlineStr">
        <is>
          <t xml:space="preserve"> ‫أُرسلت من الـ iPhone‬  &gt; ‫في 28‏/10‏/2025 الساعة 9:10 م، كتب/كتبت ‏Raghad Alajmi ‏&lt;rosealsh3lan@gmail.com&gt;:‬ &gt;  &gt; ﻿ &gt; Hello! How can we help you? &gt;  &gt; Report شفيا الذوق : 56667565 &gt;  &gt;  &gt; ‫أُرسلت من الـ iPhone‬ </t>
        </is>
      </c>
      <c r="E113" s="7" t="inlineStr">
        <is>
          <t>56667565</t>
        </is>
      </c>
    </row>
    <row r="114" ht="18" customHeight="1">
      <c r="A114" s="2" t="inlineStr">
        <is>
          <t>Raghad Alajmi &lt;rosealsh3lan@gmail.com&gt;</t>
        </is>
      </c>
      <c r="B114" s="3" t="inlineStr">
        <is>
          <t>rosealsh3lan@gmail.com</t>
        </is>
      </c>
      <c r="C114" s="2">
        <f>?utf-8?B?UmU6INi52YbZiNin2YYg2KfZhNiz2YPZhiDYp9mE2K7Yp9i1INmB?=  =?utf-8?B?2YrZhtmKINmI2YfYsNinINin2YbYqtmH2KfZgyDZhNmE2K7YtdmI?=  =?utf-8?B?2LXZitmH?=</f>
        <v/>
      </c>
      <c r="D114" s="2" t="inlineStr">
        <is>
          <t xml:space="preserve"> ‫أُرسلت من الـ iPhone‬  &gt; ‫في 28‏/10‏/2025 الساعة 9:12 م، كتب/كتبت ‏Raghad Alajmi ‏&lt;rosealsh3lan@gmail.com&gt;:‬ &gt;  &gt; ﻿ &gt; Hello! How can we help you? &gt;  &gt; Report 335الظهر / ق5 / ش1 / م 43 : 56667565 &gt;  &gt;  &gt; ‫أُرسلت من الـ iPhone‬ </t>
        </is>
      </c>
      <c r="E114" s="4" t="inlineStr">
        <is>
          <t>56667565</t>
        </is>
      </c>
    </row>
    <row r="115" ht="18" customHeight="1">
      <c r="A115" s="5" t="inlineStr">
        <is>
          <t>Raghad Alajmi &lt;rosealsh3lan@gmail.com&gt;</t>
        </is>
      </c>
      <c r="B115" s="6" t="inlineStr">
        <is>
          <t>rosealsh3lan@gmail.com</t>
        </is>
      </c>
      <c r="C115" s="5">
        <f>?utf-8?B?UmU6INmH2LDYpyDYp9mE2KfYs9mFINmE2Kcg2YrYrti12YbZiiA=?=  =?utf-8?B?2YjZitiz2KjYqCDZhNmKINin2LLYudin2Kwg2LXYp9it2Kgg2Kc=?=  =?utf-8?B?2YTYrti3INin2YTZgtiv2YrZhQ==?=</f>
        <v/>
      </c>
      <c r="D115" s="5" t="inlineStr">
        <is>
          <t xml:space="preserve"> ‫أُرسلت من الـ iPhone‬  &gt; ‫في 28‏/10‏/2025 الساعة 9:10 م، كتب/كتبت ‏Raghad Alajmi ‏&lt;rosealsh3lan@gmail.com&gt;:‬ &gt;  &gt; ﻿ &gt; Hello! How can we help you? &gt;  &gt; Report شفيا اخت دلوول : 56667565 &gt;  &gt;  &gt; ‫أُرسلت من الـ iPhone‬ </t>
        </is>
      </c>
      <c r="E115" s="7" t="inlineStr">
        <is>
          <t>56667565</t>
        </is>
      </c>
    </row>
    <row r="116" ht="18" customHeight="1">
      <c r="A116" s="2" t="inlineStr">
        <is>
          <t>Raghad Alajmi &lt;rosealsh3lan@gmail.com&gt;</t>
        </is>
      </c>
      <c r="B116" s="3" t="inlineStr">
        <is>
          <t>rosealsh3lan@gmail.com</t>
        </is>
      </c>
      <c r="C116" s="2">
        <f>?utf-8?B?UmU6INmH2LDYpyDYp9mE2KfYs9mFINmE2Kcg2YrYrti12YbZiiA=?=  =?utf-8?B?2YjZitiz2KjYqCDZhNmKINin2LLYudin2Kwg2LXYp9it2Kgg2Kc=?=  =?utf-8?B?2YTYrti3INin2YTZgtiv2YrZhQ==?=</f>
        <v/>
      </c>
      <c r="D116" s="2" t="inlineStr">
        <is>
          <t xml:space="preserve"> ‫أُرسلت من الـ iPhone‬  &gt; ‫في 28‏/10‏/2025 الساعة 9:09 م، كتب/كتبت ‏Raghad Alajmi ‏&lt;rosealsh3lan@gmail.com&gt;:‬ &gt;  &gt; ﻿ &gt; Hello! How can we help you? &gt;  &gt; Report شفوي ام حمود وسلوم : 56667565 &gt;  &gt;  &gt; ‫أُرسلت من الـ iPhone‬ </t>
        </is>
      </c>
      <c r="E116" s="4" t="inlineStr">
        <is>
          <t>56667565</t>
        </is>
      </c>
    </row>
    <row r="117" ht="18" customHeight="1">
      <c r="A117" s="5" t="inlineStr">
        <is>
          <t>Raghad Alajmi &lt;rosealsh3lan@gmail.com&gt;</t>
        </is>
      </c>
      <c r="B117" s="6" t="inlineStr">
        <is>
          <t>rosealsh3lan@gmail.com</t>
        </is>
      </c>
      <c r="C117" s="5">
        <f>?utf-8?B?UmU6INmH2LDYpyDYp9mE2KfYs9mFINmE2Kcg2YrYrti12YbZiiA=?=  =?utf-8?B?2YjZitiz2KjYqCDZhNmKINin2LLYudin2Kwg2LXYp9it2Kgg2Kc=?=  =?utf-8?B?2YTYrti3INin2YTZgtiv2YrZhQ==?=</f>
        <v/>
      </c>
      <c r="D117" s="5" t="inlineStr">
        <is>
          <t xml:space="preserve"> ‫أُرسلت من الـ iPhone‬  &gt; ‫في 28‏/10‏/2025 الساعة 9:09 م، كتب/كتبت ‏Raghad Alajmi ‏&lt;rosealsh3lan@gmail.com&gt;:‬ &gt;  &gt; ﻿ &gt; Hello! How can we help you? &gt;  &gt; Report شفوي ام حمود وسلوم : 56667565 &gt;  &gt;  &gt; ‫أُرسلت من الـ iPhone‬ </t>
        </is>
      </c>
      <c r="E117" s="7" t="inlineStr">
        <is>
          <t>56667565</t>
        </is>
      </c>
    </row>
    <row r="118" ht="18" customHeight="1">
      <c r="A118" s="2" t="inlineStr">
        <is>
          <t>Raghad Alajmi &lt;rosealsh3lan@gmail.com&gt;</t>
        </is>
      </c>
      <c r="B118" s="3" t="inlineStr">
        <is>
          <t>rosealsh3lan@gmail.com</t>
        </is>
      </c>
      <c r="C118" s="2">
        <f>?utf-8?B?UmU6INi52YbZiNin2YYg2KfZhNiz2YPZhiDYp9mE2K7Yp9i1INmB?=  =?utf-8?B?2YrZhtmKINmI2YfYsNinINin2YbYqtmH2KfZgyDZhNmE2K7YtdmI?=  =?utf-8?B?2LXZitmH?=</f>
        <v/>
      </c>
      <c r="D118" s="2" t="inlineStr">
        <is>
          <t xml:space="preserve"> ‫أُرسلت من الـ iPhone‬  &gt; ‫في 28‏/10‏/2025 الساعة 9:12 م، كتب/كتبت ‏Raghad Alajmi ‏&lt;rosealsh3lan@gmail.com&gt;:‬ &gt;  &gt; ﻿ &gt; Hello! How can we help you? &gt;  &gt; Report 335الظهر / ق5 / ش1 / : 56667565 &gt;  &gt;  &gt; ‫أُرسلت من الـ iPhone‬ </t>
        </is>
      </c>
      <c r="E118" s="4" t="inlineStr">
        <is>
          <t>56667565</t>
        </is>
      </c>
    </row>
    <row r="119" ht="18" customHeight="1">
      <c r="A119" s="5" t="inlineStr">
        <is>
          <t>Raghad Alajmi &lt;rosealsh3lan@gmail.com&gt;</t>
        </is>
      </c>
      <c r="B119" s="6" t="inlineStr">
        <is>
          <t>rosealsh3lan@gmail.com</t>
        </is>
      </c>
      <c r="C119" s="5">
        <f>?utf-8?B?UmU6INmH2LDYpyDYp9mE2KfYs9mFINmE2Kcg2YrYrti12YbZiiA=?=  =?utf-8?B?2YjZitiz2KjYqCDZhNmKINin2LLYudin2Kwg2LXYp9it2Kgg2Kc=?=  =?utf-8?B?2YTYrti3INin2YTZgtiv2YrZhQ==?=</f>
        <v/>
      </c>
      <c r="D119" s="5" t="inlineStr">
        <is>
          <t xml:space="preserve"> ‫أُرسلت من الـ iPhone‬  &gt; ‫في 28‏/10‏/2025 الساعة 9:09 م، كتب/كتبت ‏Raghad Alajmi ‏&lt;rosealsh3lan@gmail.com&gt;:‬ &gt;  &gt; ﻿ &gt; Hello! How can we help you? &gt;  &gt; Report شفوووي : 56667565 &gt;  &gt;  &gt; ‫أُرسلت من الـ iPhone‬ </t>
        </is>
      </c>
      <c r="E119" s="7" t="inlineStr">
        <is>
          <t>56667565</t>
        </is>
      </c>
    </row>
    <row r="120" ht="18" customHeight="1">
      <c r="A120" s="2" t="inlineStr">
        <is>
          <t>Raghad Alajmi &lt;rosealsh3lan@gmail.com&gt;</t>
        </is>
      </c>
      <c r="B120" s="3" t="inlineStr">
        <is>
          <t>rosealsh3lan@gmail.com</t>
        </is>
      </c>
      <c r="C120" s="2">
        <f>?utf-8?B?UmU6INi52YbZiNin2YYg2KfZhNiz2YPZhiDYp9mE2K7Yp9i1INmB?=  =?utf-8?B?2YrZhtmKINmI2YfYsNinINin2YbYqtmH2KfZgyDZhNmE2K7YtdmI?=  =?utf-8?B?2LXZitmH?=</f>
        <v/>
      </c>
      <c r="D120" s="2" t="inlineStr">
        <is>
          <t xml:space="preserve"> ‫أُرسلت من الـ iPhone‬  &gt; ‫في 28‏/10‏/2025 الساعة 9:12 م، كتب/كتبت ‏Raghad Alajmi ‏&lt;rosealsh3lan@gmail.com&gt;:‬ &gt;  &gt; ﻿ &gt; Hello! How can we help you? &gt;  &gt; Report 335الظهر / ق5 / ش1 / : 56667565 &gt;  &gt;  &gt; ‫أُرسلت من الـ iPhone‬ </t>
        </is>
      </c>
      <c r="E120" s="4" t="inlineStr">
        <is>
          <t>56667565</t>
        </is>
      </c>
    </row>
    <row r="121" ht="18" customHeight="1">
      <c r="A121" s="5" t="inlineStr">
        <is>
          <t>Raghad Alajmi &lt;rosealsh3lan@gmail.com&gt;</t>
        </is>
      </c>
      <c r="B121" s="6" t="inlineStr">
        <is>
          <t>rosealsh3lan@gmail.com</t>
        </is>
      </c>
      <c r="C121" s="5">
        <f>?utf-8?B?UmU6INmH2LDYpyDYp9mE2KfYs9mFINmE2Kcg2YrYrti12YbZiiA=?=  =?utf-8?B?2YjZitiz2KjYqCDZhNmKINin2LLYudin2Kwg2LXYp9it2Kgg2Kc=?=  =?utf-8?B?2YTYrti3INin2YTZgtiv2YrZhQ==?=</f>
        <v/>
      </c>
      <c r="D121" s="5" t="inlineStr">
        <is>
          <t xml:space="preserve"> ‫أُرسلت من الـ iPhone‬  &gt; ‫في 28‏/10‏/2025 الساعة 9:11 م، كتب/كتبت ‏Raghad Alajmi ‏&lt;rosealsh3lan@gmail.com&gt;:‬ &gt;  &gt; ﻿ &gt; Hello! How can we help you? &gt;  &gt; Report شافيه : 56667565 &gt;  &gt;  &gt; ‫أُرسلت من الـ iPhone‬ </t>
        </is>
      </c>
      <c r="E121" s="7" t="inlineStr">
        <is>
          <t>56667565</t>
        </is>
      </c>
    </row>
    <row r="122" ht="18" customHeight="1">
      <c r="A122" s="2" t="inlineStr">
        <is>
          <t>Raghad Alajmi &lt;rosealsh3lan@gmail.com&gt;</t>
        </is>
      </c>
      <c r="B122" s="3" t="inlineStr">
        <is>
          <t>rosealsh3lan@gmail.com</t>
        </is>
      </c>
      <c r="C122" s="2">
        <f>?utf-8?B?UmU6INmH2LDYpyDYp9mE2KfYs9mFINmE2Kcg2YrYrti12YbZiiA=?=  =?utf-8?B?2YjZitiz2KjYqCDZhNmKINin2LLYudin2Kwg2LXYp9it2Kgg2Kc=?=  =?utf-8?B?2YTYrti3INin2YTZgtiv2YrZhQ==?=</f>
        <v/>
      </c>
      <c r="D122" s="2" t="inlineStr">
        <is>
          <t xml:space="preserve"> ‫أُرسلت من الـ iPhone‬  &gt; ‫في 28‏/10‏/2025 الساعة 9:12 م، كتب/كتبت ‏Raghad Alajmi ‏&lt;rosealsh3lan@gmail.com&gt;:‬ &gt;  &gt; ﻿ &gt; Hello! How can we help you? &gt;  &gt; Report حفيظ 1 : 56667565 &gt;  &gt;  &gt; ‫أُرسلت من الـ iPhone‬ </t>
        </is>
      </c>
      <c r="E122" s="4" t="inlineStr">
        <is>
          <t>56667565</t>
        </is>
      </c>
    </row>
    <row r="123" ht="18" customHeight="1">
      <c r="A123" s="5" t="inlineStr">
        <is>
          <t>Raghad Alajmi &lt;rosealsh3lan@gmail.com&gt;</t>
        </is>
      </c>
      <c r="B123" s="6" t="inlineStr">
        <is>
          <t>rosealsh3lan@gmail.com</t>
        </is>
      </c>
      <c r="C123" s="5">
        <f>?utf-8?B?UmU6INmH2LDYpyDYp9mE2KfYs9mFINmE2Kcg2YrYrti12YbZiiA=?=  =?utf-8?B?2YjZitiz2KjYqCDZhNmKINin2LLYudin2Kwg2LXYp9it2Kgg2Kc=?=  =?utf-8?B?2YTYrti3INin2YTZgtiv2YrZhQ==?=</f>
        <v/>
      </c>
      <c r="D123" s="5" t="inlineStr">
        <is>
          <t xml:space="preserve"> ‫أُرسلت من الـ iPhone‬  &gt; ‫في 28‏/10‏/2025 الساعة 9:09 م، كتب/كتبت ‏Raghad Alajmi ‏&lt;rosealsh3lan@gmail.com&gt;:‬ &gt;  &gt; ﻿ &gt; Hello! How can we help you? &gt;  &gt; Report شفيا العجمي : 56667565 &gt;  &gt;  &gt; ‫أُرسلت من الـ iPhone‬ </t>
        </is>
      </c>
      <c r="E123" s="7" t="inlineStr">
        <is>
          <t>56667565</t>
        </is>
      </c>
    </row>
    <row r="124" ht="18" customHeight="1">
      <c r="A124" s="2" t="inlineStr">
        <is>
          <t>Raghad Alajmi &lt;rosealsh3lan@gmail.com&gt;</t>
        </is>
      </c>
      <c r="B124" s="3" t="inlineStr">
        <is>
          <t>rosealsh3lan@gmail.com</t>
        </is>
      </c>
      <c r="C124" s="2">
        <f>?utf-8?B?UmU6INmH2LDYpyDYp9mE2KfYs9mFINmE2Kcg2YrYrti12YbZiiA=?=  =?utf-8?B?2YjZitiz2KjYqCDZhNmKINin2LLYudin2Kwg2LXYp9it2Kgg2Kc=?=  =?utf-8?B?2YTYrti3INin2YTZgtiv2YrZhQ==?=</f>
        <v/>
      </c>
      <c r="D124" s="2" t="inlineStr">
        <is>
          <t xml:space="preserve"> ‫أُرسلت من الـ iPhone‬  &gt; ‫في 28‏/10‏/2025 الساعة 9:11 م، كتب/كتبت ‏Raghad Alajmi ‏&lt;rosealsh3lan@gmail.com&gt;:‬ &gt;  &gt; ﻿ &gt; Hello! How can we help you? &gt;  &gt; Report شفيا : 56667565 &gt;  &gt;  &gt; ‫أُرسلت من الـ iPhone‬ </t>
        </is>
      </c>
      <c r="E124" s="4" t="inlineStr">
        <is>
          <t>56667565</t>
        </is>
      </c>
    </row>
    <row r="125" ht="18" customHeight="1">
      <c r="A125" s="5" t="inlineStr">
        <is>
          <t>Raghad Alajmi &lt;rosealsh3lan@gmail.com&gt;</t>
        </is>
      </c>
      <c r="B125" s="6" t="inlineStr">
        <is>
          <t>rosealsh3lan@gmail.com</t>
        </is>
      </c>
      <c r="C125" s="5">
        <f>?utf-8?B?UmU6INmH2LDYpyDYp9mE2KfYs9mFINmE2Kcg2YrYrti12YbZiiA=?=  =?utf-8?B?2YjZitiz2KjYqCDZhNmKINin2LLYudin2Kwg2LXYp9it2Kgg2Kc=?=  =?utf-8?B?2YTYrti3INin2YTZgtiv2YrZhQ==?=</f>
        <v/>
      </c>
      <c r="D125" s="5" t="inlineStr">
        <is>
          <t xml:space="preserve"> ‫أُرسلت من الـ iPhone‬  &gt; ‫في 28‏/10‏/2025 الساعة 9:09 م، كتب/كتبت ‏Raghad Alajmi ‏&lt;rosealsh3lan@gmail.com&gt;:‬ &gt;  &gt; ﻿ &gt; Hello! How can we help you? &gt;  &gt; Report شفيه العجمي : 56667565 &gt;  &gt;  &gt; ‫أُرسلت من الـ iPhone‬ </t>
        </is>
      </c>
      <c r="E125" s="7" t="inlineStr">
        <is>
          <t>56667565</t>
        </is>
      </c>
    </row>
    <row r="126" ht="18" customHeight="1">
      <c r="A126" s="2" t="inlineStr">
        <is>
          <t>Raghad Alajmi &lt;rosealsh3lan@gmail.com&gt;</t>
        </is>
      </c>
      <c r="B126" s="3" t="inlineStr">
        <is>
          <t>rosealsh3lan@gmail.com</t>
        </is>
      </c>
      <c r="C126" s="2">
        <f>?utf-8?B?UmU6INmH2LDYpyDYp9mE2KfYs9mFINmE2Kcg2YrYrti12YbZiiA=?=  =?utf-8?B?2YjZitiz2KjYqCDZhNmKINin2LLYudin2Kwg2LXYp9it2Kgg2Kc=?=  =?utf-8?B?2YTYrti3INin2YTZgtiv2YrZhQ==?=</f>
        <v/>
      </c>
      <c r="D126" s="2" t="inlineStr">
        <is>
          <t xml:space="preserve"> ‫أُرسلت من الـ iPhone‬  &gt; ‫في 28‏/10‏/2025 الساعة 9:11 م، كتب/كتبت ‏Raghad Alajmi ‏&lt;rosealsh3lan@gmail.com&gt;:‬ &gt;  &gt; ﻿ &gt; Hello! How can we help you? &gt;  &gt; Report شفعه : 56667565 &gt;  &gt;  &gt; ‫أُرسلت من الـ iPhone‬ </t>
        </is>
      </c>
      <c r="E126" s="4" t="inlineStr">
        <is>
          <t>56667565</t>
        </is>
      </c>
    </row>
    <row r="127" ht="18" customHeight="1">
      <c r="A127" s="5" t="inlineStr">
        <is>
          <t>Raghad Alajmi &lt;rosealsh3lan@gmail.com&gt;</t>
        </is>
      </c>
      <c r="B127" s="6" t="inlineStr">
        <is>
          <t>rosealsh3lan@gmail.com</t>
        </is>
      </c>
      <c r="C127" s="5">
        <f>?utf-8?B?UmU6INmH2LDYpyDYp9mE2KfYs9mFINmE2Kcg2YrYrti12YbZiiA=?=  =?utf-8?B?2YjZitiz2KjYqCDZhNmKINin2LLYudin2Kwg2LXYp9it2Kgg2Kc=?=  =?utf-8?B?2YTYrti3INin2YTZgtiv2YrZhQ==?=</f>
        <v/>
      </c>
      <c r="D127" s="5" t="inlineStr">
        <is>
          <t xml:space="preserve"> ‫أُرسلت من الـ iPhone‬  &gt; ‫في 28‏/10‏/2025 الساعة 9:09 م، كتب/كتبت ‏Raghad Alajmi ‏&lt;rosealsh3lan@gmail.com&gt;:‬ &gt;  &gt; ﻿ &gt; Hello! How can we help you? &gt;  &gt; Report شفوي1 : 56667565 &gt;  &gt;  &gt; ‫أُرسلت من الـ iPhone‬ </t>
        </is>
      </c>
      <c r="E127" s="7" t="inlineStr">
        <is>
          <t>56667565</t>
        </is>
      </c>
    </row>
    <row r="128" ht="18" customHeight="1">
      <c r="A128" s="2" t="inlineStr">
        <is>
          <t>Raghad Alajmi &lt;rosealsh3lan@gmail.com&gt;</t>
        </is>
      </c>
      <c r="B128" s="3" t="inlineStr">
        <is>
          <t>rosealsh3lan@gmail.com</t>
        </is>
      </c>
      <c r="C128" s="2">
        <f>?utf-8?B?UmU6INmH2LDYpyDYp9mE2KfYs9mFINmE2Kcg2YrYrti12YbZiiA=?=  =?utf-8?B?2YjZitiz2KjYqCDZhNmKINin2LLYudin2Kwg2LXYp9it2Kgg2Kc=?=  =?utf-8?B?2YTYrti3INin2YTZgtiv2YrZhQ==?=</f>
        <v/>
      </c>
      <c r="D128" s="2" t="inlineStr">
        <is>
          <t xml:space="preserve"> ‫أُرسلت من الـ iPhone‬  &gt; ‫في 28‏/10‏/2025 الساعة 9:09 م، كتب/كتبت ‏Raghad Alajmi ‏&lt;rosealsh3lan@gmail.com&gt;:‬ &gt;  &gt; ﻿ &gt; Hello! How can we help you? &gt;  &gt; Report شفوي1 : 56667565 &gt;  &gt;  &gt; ‫أُرسلت من الـ iPhone‬ </t>
        </is>
      </c>
      <c r="E128" s="4" t="inlineStr">
        <is>
          <t>56667565</t>
        </is>
      </c>
    </row>
    <row r="129" ht="18" customHeight="1">
      <c r="A129" s="5" t="inlineStr">
        <is>
          <t>Raghad Alajmi &lt;rosealsh3lan@gmail.com&gt;</t>
        </is>
      </c>
      <c r="B129" s="6" t="inlineStr">
        <is>
          <t>rosealsh3lan@gmail.com</t>
        </is>
      </c>
      <c r="C129" s="5">
        <f>?utf-8?B?UmU6INmH2LDYpyDYp9mE2KfYs9mFINmE2Kcg2YrYrti12YbZiiA=?=  =?utf-8?B?2YjZitiz2KjYqCDZhNmKINin2LLYudin2Kwg2LXYp9it2Kgg2Kc=?=  =?utf-8?B?2YTYrti3INin2YTZgtiv2YrZhQ==?=</f>
        <v/>
      </c>
      <c r="D129" s="5" t="inlineStr">
        <is>
          <t xml:space="preserve"> ‫أُرسلت من الـ iPhone‬  &gt; ‫في 28‏/10‏/2025 الساعة 9:09 م، كتب/كتبت ‏Raghad Alajmi ‏&lt;rosealsh3lan@gmail.com&gt;:‬ &gt;  &gt; ﻿ &gt; Hello! How can we help you? &gt;  &gt; Report شفوي 2 : 56667565 &gt;  &gt;  &gt; ‫أُرسلت من الـ iPhone‬ </t>
        </is>
      </c>
      <c r="E129" s="7" t="inlineStr">
        <is>
          <t>56667565</t>
        </is>
      </c>
    </row>
    <row r="130" ht="18" customHeight="1">
      <c r="A130" s="2" t="inlineStr">
        <is>
          <t>Raghad Alajmi &lt;rosealsh3lan@gmail.com&gt;</t>
        </is>
      </c>
      <c r="B130" s="3" t="inlineStr">
        <is>
          <t>rosealsh3lan@gmail.com</t>
        </is>
      </c>
      <c r="C130" s="2">
        <f>?utf-8?B?UmU6INmH2LDYpyDYp9mE2KfYs9mFINmE2Kcg2YrYrti12YbZiiA=?=  =?utf-8?B?2YjZitiz2KjYqCDZhNmKINin2LLYudin2Kwg2LXYp9it2Kgg2Kc=?=  =?utf-8?B?2YTYrti3INin2YTZgtiv2YrZhQ==?=</f>
        <v/>
      </c>
      <c r="D130" s="2" t="inlineStr">
        <is>
          <t xml:space="preserve"> ‫أُرسلت من الـ iPhone‬  &gt; ‫في 28‏/10‏/2025 الساعة 9:09 م، كتب/كتبت ‏Raghad Alajmi ‏&lt;rosealsh3lan@gmail.com&gt;:‬ &gt;  &gt; ﻿ &gt; Hello! How can we help you? &gt;  &gt; Report شفوي 2 : 56667565 &gt;  &gt;  &gt; ‫أُرسلت من الـ iPhone‬ </t>
        </is>
      </c>
      <c r="E130" s="4" t="inlineStr">
        <is>
          <t>56667565</t>
        </is>
      </c>
    </row>
    <row r="131" ht="18" customHeight="1">
      <c r="A131" s="5" t="inlineStr">
        <is>
          <t>Raghad Alajmi &lt;rosealsh3lan@gmail.com&gt;</t>
        </is>
      </c>
      <c r="B131" s="6" t="inlineStr">
        <is>
          <t>rosealsh3lan@gmail.com</t>
        </is>
      </c>
      <c r="C131" s="5">
        <f>?utf-8?B?UmU6INmH2LDYpyDYp9mE2KfYs9mFINmE2Kcg2YrYrti12YbZiiA=?=  =?utf-8?B?2YjZitiz2KjYqCDZhNmKINin2LLYudin2Kwg2LXYp9it2Kgg2Kc=?=  =?utf-8?B?2YTYrti3INin2YTZgtiv2YrZhQ==?=</f>
        <v/>
      </c>
      <c r="D131" s="5" t="inlineStr">
        <is>
          <t xml:space="preserve"> ‫أُرسلت من الـ iPhone‬  &gt; ‫في 28‏/10‏/2025 الساعة 9:09 م، كتب/كتبت ‏Raghad Alajmi ‏&lt;rosealsh3lan@gmail.com&gt;:‬ &gt;  &gt; ﻿ &gt; Hello! How can we help you? &gt;  &gt; Report شفوي 2 : 56667565 &gt;  &gt;  &gt; ‫أُرسلت من الـ iPhone‬ </t>
        </is>
      </c>
      <c r="E131" s="7" t="inlineStr">
        <is>
          <t>56667565</t>
        </is>
      </c>
    </row>
    <row r="132" ht="18" customHeight="1">
      <c r="A132" s="2" t="inlineStr">
        <is>
          <t>Raghad Alajmi &lt;rosealsh3lan@gmail.com&gt;</t>
        </is>
      </c>
      <c r="B132" s="3" t="inlineStr">
        <is>
          <t>rosealsh3lan@gmail.com</t>
        </is>
      </c>
      <c r="C132" s="2">
        <f>?utf-8?B?UmU6INmH2LDYpyDYp9mE2KfYs9mFINmE2Kcg2YrYrti12YbZiiA=?=  =?utf-8?B?2YjZitiz2KjYqCDZhNmKINin2LLYudin2Kwg2LXYp9it2Kgg2Kc=?=  =?utf-8?B?2YTYrti3INin2YTZgtiv2YrZhQ==?=</f>
        <v/>
      </c>
      <c r="D132" s="2" t="inlineStr">
        <is>
          <t xml:space="preserve"> ‫أُرسلت من الـ iPhone‬  &gt; ‫في 28‏/10‏/2025 الساعة 9:12 م، كتب/كتبت ‏Raghad Alajmi ‏&lt;rosealsh3lan@gmail.com&gt;:‬ &gt;  &gt; ﻿ &gt; Hello! How can we help you? &gt;  &gt; Report Hafeed Hafeed 3439 : 56667565 &gt;  &gt;  &gt; ‫أُرسلت من الـ iPhone‬ </t>
        </is>
      </c>
      <c r="E132" s="4" t="inlineStr">
        <is>
          <t>56667565</t>
        </is>
      </c>
    </row>
    <row r="133" ht="18" customHeight="1">
      <c r="A133" s="5" t="inlineStr">
        <is>
          <t>Raghad Alajmi &lt;rosealsh3lan@gmail.com&gt;</t>
        </is>
      </c>
      <c r="B133" s="6" t="inlineStr">
        <is>
          <t>rosealsh3lan@gmail.com</t>
        </is>
      </c>
      <c r="C133" s="5">
        <f>?utf-8?B?UmU6INmH2LDYpyDYp9mE2KfYs9mFINmE2Kcg2YrYrti12YbZiiA=?=  =?utf-8?B?2YjZitiz2KjYqCDZhNmKINin2LLYudin2Kwg2LXYp9it2Kgg2Kc=?=  =?utf-8?B?2YTYrti3INin2YTZgtiv2YrZhQ==?=</f>
        <v/>
      </c>
      <c r="D133" s="5" t="inlineStr">
        <is>
          <t xml:space="preserve"> ‫أُرسلت من الـ iPhone‬  &gt; ‫في 28‏/10‏/2025 الساعة 9:12 م، كتب/كتبت ‏Raghad Alajmi ‏&lt;rosealsh3lan@gmail.com&gt;:‬ &gt;  &gt; ﻿ &gt; Hello! How can we help you? &gt;  &gt; Report Hafeed Hafeed 3439 : 56667565 &gt;  &gt;  &gt; ‫أُرسلت من الـ iPhone‬ </t>
        </is>
      </c>
      <c r="E133" s="7" t="inlineStr">
        <is>
          <t>56667565</t>
        </is>
      </c>
    </row>
    <row r="134" ht="18" customHeight="1">
      <c r="A134" s="2" t="inlineStr">
        <is>
          <t>Raghad Alajmi &lt;rosealsh3lan@gmail.com&gt;</t>
        </is>
      </c>
      <c r="B134" s="3" t="inlineStr">
        <is>
          <t>rosealsh3lan@gmail.com</t>
        </is>
      </c>
      <c r="C134" s="2">
        <f>?utf-8?B?UmU6INmH2LDYpyDYp9mE2KfYs9mFINmE2Kcg2YrYrti12YbZiiA=?=  =?utf-8?B?2YjZitiz2KjYqCDZhNmKINin2LLYudin2Kwg2LXYp9it2Kgg2Kc=?=  =?utf-8?B?2YTYrti3INin2YTZgtiv2YrZhQ==?=</f>
        <v/>
      </c>
      <c r="D134" s="2" t="inlineStr">
        <is>
          <t xml:space="preserve"> ‫أُرسلت من الـ iPhone‬  &gt; ‫في 28‏/10‏/2025 الساعة 9:12 م، كتب/كتبت ‏Raghad Alajmi ‏&lt;rosealsh3lan@gmail.com&gt;:‬ &gt;  &gt; ﻿ &gt; Hello! How can we help you? &gt;  &gt; Report Hafeed Hafeed 3439 : 56667565 &gt;  &gt;  &gt; ‫أُرسلت من الـ iPhone‬ </t>
        </is>
      </c>
      <c r="E134" s="4" t="inlineStr">
        <is>
          <t>56667565</t>
        </is>
      </c>
    </row>
    <row r="135" ht="18" customHeight="1">
      <c r="A135" s="5" t="inlineStr">
        <is>
          <t>Raghad Alajmi &lt;rosealsh3lan@gmail.com&gt;</t>
        </is>
      </c>
      <c r="B135" s="6" t="inlineStr">
        <is>
          <t>rosealsh3lan@gmail.com</t>
        </is>
      </c>
      <c r="C135" s="5">
        <f>?utf-8?B?UmU6INmH2LDYpyDYp9mE2KfYs9mFINmE2Kcg2YrYrti12YbZiiA=?=  =?utf-8?B?2YjZitiz2KjYqCDZhNmKINin2LLYudin2Kwg2LXYp9it2Kgg2Kc=?=  =?utf-8?B?2YTYrti3INin2YTZgtiv2YrZhQ==?=</f>
        <v/>
      </c>
      <c r="D135" s="5" t="inlineStr">
        <is>
          <t xml:space="preserve"> ‫أُرسلت من الـ iPhone‬  &gt; ‫في 28‏/10‏/2025 الساعة 9:08 م، كتب/كتبت ‏Raghad Alajmi ‏&lt;rosealsh3lan@gmail.com&gt;:‬ &gt;  &gt; ﻿ &gt; Hello! How can we help you? &gt;  &gt; Report شافيه اخت دلوول : 56667565 &gt;  &gt;  &gt; ‫أُرسلت من الـ iPhone‬ </t>
        </is>
      </c>
      <c r="E135" s="7" t="inlineStr">
        <is>
          <t>56667565</t>
        </is>
      </c>
    </row>
    <row r="136" ht="18" customHeight="1">
      <c r="A136" s="2" t="inlineStr">
        <is>
          <t>Raghad Alajmi &lt;rosealsh3lan@gmail.com&gt;</t>
        </is>
      </c>
      <c r="B136" s="3" t="inlineStr">
        <is>
          <t>rosealsh3lan@gmail.com</t>
        </is>
      </c>
      <c r="C136" s="2">
        <f>?utf-8?B?UmU6INmH2LDYpyDYp9mE2KfYs9mFINmE2Kcg2YrYrti12YbZiiA=?=  =?utf-8?B?2YjZitiz2KjYqCDZhNmKINin2LLYudin2Kwg2LXYp9it2Kgg2Kc=?=  =?utf-8?B?2YTYrti3INin2YTZgtiv2YrZhQ==?=</f>
        <v/>
      </c>
      <c r="D136" s="2" t="inlineStr">
        <is>
          <t xml:space="preserve"> ‫أُرسلت من الـ iPhone‬  &gt; ‫في 28‏/10‏/2025 الساعة 9:08 م، كتب/كتبت ‏Raghad Alajmi ‏&lt;rosealsh3lan@gmail.com&gt;:‬ &gt;  &gt; ﻿ &gt; Hello! How can we help you? &gt;  &gt; Report شافيه اخت دلوول : 56667565 &gt;  &gt;  &gt; ‫أُرسلت من الـ iPhone‬ </t>
        </is>
      </c>
      <c r="E136" s="4" t="inlineStr">
        <is>
          <t>56667565</t>
        </is>
      </c>
    </row>
    <row r="137" ht="18" customHeight="1">
      <c r="A137" s="5" t="inlineStr">
        <is>
          <t>Raghad Alajmi &lt;rosealsh3lan@gmail.com&gt;</t>
        </is>
      </c>
      <c r="B137" s="6" t="inlineStr">
        <is>
          <t>rosealsh3lan@gmail.com</t>
        </is>
      </c>
      <c r="C137" s="5">
        <f>?utf-8?B?UmU6INmH2LDYpyDYp9mE2KfYs9mFINmE2Kcg2YrYrti12YbZiiA=?=  =?utf-8?B?2YjZitiz2KjYqCDZhNmKINin2LLYudin2Kwg2LXYp9it2Kgg2Kc=?=  =?utf-8?B?2YTYrti3INin2YTZgtiv2YrZhQ==?=</f>
        <v/>
      </c>
      <c r="D137" s="5" t="inlineStr">
        <is>
          <t xml:space="preserve"> ‫أُرسلت من الـ iPhone‬  &gt; ‫في 28‏/10‏/2025 الساعة 9:10 م، كتب/كتبت ‏Raghad Alajmi ‏&lt;rosealsh3lan@gmail.com&gt;:‬ &gt;  &gt; ﻿ &gt; Hello! How can we help you? &gt;  &gt; Report شفوي الجديد : 56667565 &gt;  &gt;  &gt; ‫أُرسلت من الـ iPhone‬ </t>
        </is>
      </c>
      <c r="E137" s="7" t="inlineStr">
        <is>
          <t>56667565</t>
        </is>
      </c>
    </row>
    <row r="138" ht="18" customHeight="1">
      <c r="A138" s="2" t="inlineStr">
        <is>
          <t>Raghad Alajmi &lt;rosealsh3lan@gmail.com&gt;</t>
        </is>
      </c>
      <c r="B138" s="3" t="inlineStr">
        <is>
          <t>rosealsh3lan@gmail.com</t>
        </is>
      </c>
      <c r="C138" s="2">
        <f>?utf-8?B?UmU6INmH2LDYpyDYp9mE2KfYs9mFINmE2Kcg2YrYrti12YbZiiA=?=  =?utf-8?B?2YjZitiz2KjYqCDZhNmKINin2LLYudin2Kwg2LXYp9it2Kgg2Kc=?=  =?utf-8?B?2YTYrti3INin2YTZgtiv2YrZhQ==?=</f>
        <v/>
      </c>
      <c r="D138" s="2" t="inlineStr">
        <is>
          <t xml:space="preserve"> ‫أُرسلت من الـ iPhone‬  &gt; ‫في 28‏/10‏/2025 الساعة 9:10 م، كتب/كتبت ‏Raghad Alajmi ‏&lt;rosealsh3lan@gmail.com&gt;:‬ &gt;  &gt; ﻿ &gt; Hello! How can we help you? &gt;  &gt; Report شافي حمد جديد : 56667565 &gt;  &gt;  &gt; ‫أُرسلت من الـ iPhone‬ </t>
        </is>
      </c>
      <c r="E138" s="4" t="inlineStr">
        <is>
          <t>56667565</t>
        </is>
      </c>
    </row>
    <row r="139" ht="18" customHeight="1">
      <c r="A139" s="5">
        <f>?utf-8?B?2KfZhNmA2YDZiNiq2YDZgNmK2YDZhg==?= &lt;a.al3nzyaq8@gmail.com&gt;</f>
        <v/>
      </c>
      <c r="B139" s="6" t="inlineStr">
        <is>
          <t>a.al3nzyaq8@gmail.com</t>
        </is>
      </c>
      <c r="C139" s="5">
        <f>?utf-8?Q?=D8=A7=D8=B1=D8=AC=D9=88_=D9=85=D8=B3=D8=AD_=D8=B1?=  =?utf-8?Q?=D9=82=D9=85=D9=8A_=D9=85=D9=86_=D9=85=D9=86=D9=88_?=  =?utf-8?Q?=D8=AF=D8=A7=D9=82_66837847?=</f>
        <v/>
      </c>
      <c r="D139" s="5" t="inlineStr">
        <is>
          <t>Hello! How can we help you?  Report رفعت سلام : 66837847   ‫أُرسلت من الـ iPhone‬</t>
        </is>
      </c>
      <c r="E139" s="7" t="inlineStr">
        <is>
          <t>66837847</t>
        </is>
      </c>
    </row>
    <row r="140" ht="18" customHeight="1">
      <c r="A140" s="2" t="inlineStr">
        <is>
          <t>Yousef Tab &lt;yousefqm@icloud.com&gt;</t>
        </is>
      </c>
      <c r="B140" s="3" t="inlineStr">
        <is>
          <t>yousefqm@icloud.com</t>
        </is>
      </c>
      <c r="C140" s="2">
        <f>?utf-8?B?2YPZhNin2YUg2LPZitih?=</f>
        <v/>
      </c>
      <c r="D140" s="2" t="inlineStr">
        <is>
          <t>Hello! How can we help you?  Report الخول بتاع بليل : 67693989   Sent from my iPhone</t>
        </is>
      </c>
      <c r="E140" s="4" t="inlineStr">
        <is>
          <t>67693989</t>
        </is>
      </c>
    </row>
    <row r="141" ht="18" customHeight="1">
      <c r="A141" s="5" t="inlineStr">
        <is>
          <t>Fatma &lt;faalrsh6@gmail.com&gt;</t>
        </is>
      </c>
      <c r="B141" s="6" t="inlineStr">
        <is>
          <t>faalrsh6@gmail.com</t>
        </is>
      </c>
      <c r="C141" s="5">
        <f>?utf-8?B?2KfZhNix2KzYp9ihINit2LDZgSDYp9mE2KfYs9mF?=</f>
        <v/>
      </c>
      <c r="D141" s="5" t="inlineStr">
        <is>
          <t>Hello! How can we help you?  Report فاطمة الصليبية : 99005269   Sent from my iPhone</t>
        </is>
      </c>
      <c r="E141" s="7" t="inlineStr">
        <is>
          <t>99005269</t>
        </is>
      </c>
    </row>
    <row r="142" ht="18" customHeight="1">
      <c r="A142" s="2" t="inlineStr">
        <is>
          <t>mabajmi@gmail.com</t>
        </is>
      </c>
      <c r="B142" s="3" t="inlineStr">
        <is>
          <t>mabajmi@gmail.com</t>
        </is>
      </c>
      <c r="C142" s="2" t="inlineStr">
        <is>
          <t xml:space="preserve">Re: </t>
        </is>
      </c>
      <c r="D142" s="2" t="inlineStr">
        <is>
          <t xml:space="preserve">This name is incorrect. This number belongs to me, not to this name. ‫أُرسلت من الـ iPhone‬  &gt; ‫في 29‏/10‏/2025 الساعة 1:17 م، كتب/كتبت mabajmi@gmail.com:‬ &gt;  &gt; ﻿ &gt; Hello! How can we help you? &gt;  &gt; Report الصباحيه الخميس الساعه 6 : 65922668 &gt;  &gt;  &gt; ‫أُرسلت من الـ iPhone‬ </t>
        </is>
      </c>
      <c r="E142" s="4" t="inlineStr">
        <is>
          <t>65922668</t>
        </is>
      </c>
    </row>
    <row r="143" ht="18" customHeight="1">
      <c r="A143" s="5" t="inlineStr">
        <is>
          <t>mabajmi@gmail.com</t>
        </is>
      </c>
      <c r="B143" s="6" t="inlineStr">
        <is>
          <t>mabajmi@gmail.com</t>
        </is>
      </c>
      <c r="C143" s="5" t="inlineStr">
        <is>
          <t xml:space="preserve">Re: </t>
        </is>
      </c>
      <c r="D143" s="5" t="inlineStr">
        <is>
          <t xml:space="preserve">This name is incorrect. This number belongs to me, not to this name. ‫أُرسلت من الـ iPhone‬  &gt; ‫في 29‏/10‏/2025 الساعة 1:21 م، كتب/كتبت mabajmi@gmail.com:‬ &gt;  &gt; ﻿ &gt; Hello! How can we help you? &gt;  &gt; Report Mothy Elbrak- : 55368836 &gt;  &gt;  &gt; ‫أُرسلت من الـ iPhone‬ </t>
        </is>
      </c>
      <c r="E143" s="7" t="inlineStr">
        <is>
          <t>55368836</t>
        </is>
      </c>
    </row>
    <row r="144" ht="18" customHeight="1">
      <c r="A144" s="2" t="inlineStr">
        <is>
          <t>mabajmi@gmail.com</t>
        </is>
      </c>
      <c r="B144" s="3" t="inlineStr">
        <is>
          <t>mabajmi@gmail.com</t>
        </is>
      </c>
      <c r="C144" s="2" t="inlineStr">
        <is>
          <t xml:space="preserve">Re: </t>
        </is>
      </c>
      <c r="D144" s="2" t="inlineStr">
        <is>
          <t xml:space="preserve">This name is incorrect. This number belongs to me, not to this name. ‫أُرسلت من الـ iPhone‬  &gt; ‫في 29‏/10‏/2025 الساعة 1:18 م، كتب/كتبت mabajmi@gmail.com:‬ &gt;  &gt; ﻿ &gt; Hello! How can we help you? &gt;  &gt; Report (عروض4) : 65922668 &gt;  &gt;  &gt; ‫أُرسلت من الـ iPhone‬ </t>
        </is>
      </c>
      <c r="E144" s="4" t="inlineStr">
        <is>
          <t>65922668</t>
        </is>
      </c>
    </row>
    <row r="145" ht="18" customHeight="1">
      <c r="A145" s="5" t="inlineStr">
        <is>
          <t>mabajmi@gmail.com</t>
        </is>
      </c>
      <c r="B145" s="6" t="inlineStr">
        <is>
          <t>mabajmi@gmail.com</t>
        </is>
      </c>
      <c r="C145" s="5" t="inlineStr">
        <is>
          <t xml:space="preserve">Re: </t>
        </is>
      </c>
      <c r="D145" s="5" t="inlineStr">
        <is>
          <t xml:space="preserve">This name is incorrect. This number belongs to me, not to this name. ‫أُرسلت من الـ iPhone‬  &gt; ‫في 29‏/10‏/2025 الساعة 1:13 م، كتب/كتبت mabajmi@gmail.com:‬ &gt;  &gt; ﻿ &gt; Hello! How can we help you? &gt;  &gt; Report نطاطيه 30- : 60008980 &gt;  &gt;  &gt; ‫أُرسلت من الـ iPhone‬ </t>
        </is>
      </c>
      <c r="E145" s="7" t="inlineStr">
        <is>
          <t>60008980</t>
        </is>
      </c>
    </row>
    <row r="146" ht="18" customHeight="1">
      <c r="A146" s="2" t="inlineStr">
        <is>
          <t>mabajmi@gmail.com</t>
        </is>
      </c>
      <c r="B146" s="3" t="inlineStr">
        <is>
          <t>mabajmi@gmail.com</t>
        </is>
      </c>
      <c r="C146" s="2" t="inlineStr">
        <is>
          <t xml:space="preserve">Re: </t>
        </is>
      </c>
      <c r="D146" s="2" t="inlineStr">
        <is>
          <t xml:space="preserve">This name is incorrect. This number belongs to me, not to this name. ‫أُرسلت من الـ iPhone‬  &gt; ‫في 29‏/10‏/2025 الساعة 1:18 م، كتب/كتبت mabajmi@gmail.com:‬ &gt;  &gt; ﻿ &gt; Hello! How can we help you? &gt;  &gt; Report ام عبدالله اولي : 65922668 &gt;  &gt;  &gt; ‫أُرسلت من الـ iPhone‬ </t>
        </is>
      </c>
      <c r="E146" s="4" t="inlineStr">
        <is>
          <t>65922668</t>
        </is>
      </c>
    </row>
    <row r="147" ht="18" customHeight="1">
      <c r="A147" s="5" t="inlineStr">
        <is>
          <t>mabajmi@gmail.com</t>
        </is>
      </c>
      <c r="B147" s="6" t="inlineStr">
        <is>
          <t>mabajmi@gmail.com</t>
        </is>
      </c>
      <c r="C147" s="5" t="inlineStr">
        <is>
          <t xml:space="preserve">Re: </t>
        </is>
      </c>
      <c r="D147" s="5" t="inlineStr">
        <is>
          <t xml:space="preserve">This name is incorrect. This number belongs to me, not to this name. ‫أُرسلت من الـ iPhone‬  &gt; ‫في 29‏/10‏/2025 الساعة 1:22 م، كتب/كتبت mabajmi@gmail.com:‬ &gt;  &gt; ﻿ &gt; Hello! How can we help you? &gt;  &gt; Report عبدالله سلطان الجلهمي : 55368836 &gt;  &gt;  &gt; ‫أُرسلت من الـ iPhone‬ </t>
        </is>
      </c>
      <c r="E147" s="7" t="inlineStr">
        <is>
          <t>55368836</t>
        </is>
      </c>
    </row>
    <row r="148" ht="18" customHeight="1">
      <c r="A148" s="2" t="inlineStr">
        <is>
          <t>mabajmi@gmail.com</t>
        </is>
      </c>
      <c r="B148" s="3" t="inlineStr">
        <is>
          <t>mabajmi@gmail.com</t>
        </is>
      </c>
      <c r="C148" s="2" t="inlineStr">
        <is>
          <t xml:space="preserve">Re: </t>
        </is>
      </c>
      <c r="D148" s="2" t="inlineStr">
        <is>
          <t xml:space="preserve">This name is incorrect. This number belongs to me, not to this name. ‫أُرسلت من الـ iPhone‬  &gt; ‫في 29‏/10‏/2025 الساعة 1:22 م، كتب/كتبت mabajmi@gmail.com:‬ &gt;  &gt; ﻿ &gt; Hello! How can we help you? &gt;  &gt; Report عبدالله سلطان : 55368836 &gt;  &gt;  &gt; ‫أُرسلت من الـ iPhone‬ </t>
        </is>
      </c>
      <c r="E148" s="4" t="inlineStr">
        <is>
          <t>55368836</t>
        </is>
      </c>
    </row>
    <row r="149" ht="18" customHeight="1">
      <c r="A149" s="5" t="inlineStr">
        <is>
          <t>mabajmi@gmail.com</t>
        </is>
      </c>
      <c r="B149" s="6" t="inlineStr">
        <is>
          <t>mabajmi@gmail.com</t>
        </is>
      </c>
      <c r="C149" s="5" t="inlineStr">
        <is>
          <t xml:space="preserve">Re: </t>
        </is>
      </c>
      <c r="D149" s="5" t="inlineStr">
        <is>
          <t xml:space="preserve">This name is incorrect. This number belongs to me, not to this name. ‫أُرسلت من الـ iPhone‬  &gt; ‫في 29‏/10‏/2025 الساعة 1:14 م، كتب/كتبت mabajmi@gmail.com:‬ &gt;  &gt; ﻿ &gt; Hello! How can we help you? &gt;  &gt; Report لمبه 4- : 60008980 &gt;  &gt;  &gt; ‫أُرسلت من الـ iPhone‬ </t>
        </is>
      </c>
      <c r="E149" s="7" t="inlineStr">
        <is>
          <t>60008980</t>
        </is>
      </c>
    </row>
    <row r="150" ht="18" customHeight="1">
      <c r="A150" s="2" t="inlineStr">
        <is>
          <t>mabajmi@gmail.com</t>
        </is>
      </c>
      <c r="B150" s="3" t="inlineStr">
        <is>
          <t>mabajmi@gmail.com</t>
        </is>
      </c>
      <c r="C150" s="2" t="inlineStr">
        <is>
          <t xml:space="preserve">Re: </t>
        </is>
      </c>
      <c r="D150" s="2" t="inlineStr">
        <is>
          <t xml:space="preserve">This name is incorrect. This number belongs to me, not to this name. ‫أُرسلت من الـ iPhone‬  &gt; ‫في 29‏/10‏/2025 الساعة 1:21 م، كتب/كتبت mabajmi@gmail.com:‬ &gt;  &gt; ﻿ &gt; Hello! How can we help you? &gt;  &gt; Report محمد علي رنج- : 55368836 &gt;  &gt;  &gt; ‫أُرسلت من الـ iPhone‬ </t>
        </is>
      </c>
      <c r="E150" s="4" t="inlineStr">
        <is>
          <t>55368836</t>
        </is>
      </c>
    </row>
    <row r="151" ht="18" customHeight="1">
      <c r="A151" s="5" t="inlineStr">
        <is>
          <t>mabajmi@gmail.com</t>
        </is>
      </c>
      <c r="B151" s="6" t="inlineStr">
        <is>
          <t>mabajmi@gmail.com</t>
        </is>
      </c>
      <c r="C151" s="5" t="inlineStr">
        <is>
          <t xml:space="preserve">Re: </t>
        </is>
      </c>
      <c r="D151" s="5" t="inlineStr">
        <is>
          <t xml:space="preserve">This name is incorrect. This number belongs to me, not to this name. ‫أُرسلت من الـ iPhone‬  &gt; ‫في 29‏/10‏/2025 الساعة 1:14 م، كتب/كتبت mabajmi@gmail.com:‬ &gt;  &gt; ﻿ &gt; Hello! How can we help you? &gt;  &gt; Report مضيع : 60008980 &gt;  &gt;  &gt; ‫أُرسلت من الـ iPhone‬ </t>
        </is>
      </c>
      <c r="E151" s="7" t="inlineStr">
        <is>
          <t>60008980</t>
        </is>
      </c>
    </row>
    <row r="152" ht="18" customHeight="1">
      <c r="A152" s="2" t="inlineStr">
        <is>
          <t>mabajmi@gmail.com</t>
        </is>
      </c>
      <c r="B152" s="3" t="inlineStr">
        <is>
          <t>mabajmi@gmail.com</t>
        </is>
      </c>
      <c r="C152" s="2" t="inlineStr">
        <is>
          <t xml:space="preserve">Re: </t>
        </is>
      </c>
      <c r="D152" s="2" t="inlineStr">
        <is>
          <t xml:space="preserve">This name is incorrect. This number belongs to me, not to this name. ‫أُرسلت من الـ iPhone‬  &gt; ‫في 29‏/10‏/2025 الساعة 1:18 م، كتب/كتبت mabajmi@gmail.com:‬ &gt;  &gt; ﻿ &gt; Hello! How can we help you? &gt;  &gt; Report R- : 65922668 &gt;  &gt;  &gt; ‫أُرسلت من الـ iPhone‬ </t>
        </is>
      </c>
      <c r="E152" s="4" t="inlineStr">
        <is>
          <t>65922668</t>
        </is>
      </c>
    </row>
    <row r="153" ht="18" customHeight="1">
      <c r="A153" s="5" t="inlineStr">
        <is>
          <t>mabajmi@gmail.com</t>
        </is>
      </c>
      <c r="B153" s="6" t="inlineStr">
        <is>
          <t>mabajmi@gmail.com</t>
        </is>
      </c>
      <c r="C153" s="5" t="inlineStr">
        <is>
          <t xml:space="preserve">Re: </t>
        </is>
      </c>
      <c r="D153" s="5" t="inlineStr">
        <is>
          <t xml:space="preserve">This name is incorrect. This number belongs to me, not to this name. ‫أُرسلت من الـ iPhone‬  &gt; ‫في 29‏/10‏/2025 الساعة 1:18 م، كتب/كتبت mabajmi@gmail.com:‬ &gt;  &gt; ﻿ &gt; Hello! How can we help you? &gt;  &gt; Report R- : 65922668 &gt;  &gt;  &gt; ‫أُرسلت من الـ iPhone‬ </t>
        </is>
      </c>
      <c r="E153" s="7" t="inlineStr">
        <is>
          <t>65922668</t>
        </is>
      </c>
    </row>
    <row r="154" ht="18" customHeight="1">
      <c r="A154" s="2" t="inlineStr">
        <is>
          <t>mabajmi@gmail.com</t>
        </is>
      </c>
      <c r="B154" s="3" t="inlineStr">
        <is>
          <t>mabajmi@gmail.com</t>
        </is>
      </c>
      <c r="C154" s="2" t="inlineStr">
        <is>
          <t xml:space="preserve">Re: </t>
        </is>
      </c>
      <c r="D154" s="2" t="inlineStr">
        <is>
          <t xml:space="preserve">This name is incorrect. This number belongs to me, not to this name. ‫أُرسلت من الـ iPhone‬  &gt; ‫في 29‏/10‏/2025 الساعة 1:16 م، كتب/كتبت mabajmi@gmail.com:‬ &gt;  &gt; ﻿ &gt; Hello! How can we help you? &gt;  &gt; Report مشاعل : 99875711 &gt;  &gt;  &gt; ‫أُرسلت من الـ iPhone‬ </t>
        </is>
      </c>
      <c r="E154" s="4" t="inlineStr">
        <is>
          <t>99875711</t>
        </is>
      </c>
    </row>
    <row r="155" ht="18" customHeight="1">
      <c r="A155" s="5" t="inlineStr">
        <is>
          <t>mabajmi@gmail.com</t>
        </is>
      </c>
      <c r="B155" s="6" t="inlineStr">
        <is>
          <t>mabajmi@gmail.com</t>
        </is>
      </c>
      <c r="C155" s="5" t="inlineStr">
        <is>
          <t xml:space="preserve">Re: </t>
        </is>
      </c>
      <c r="D155" s="5" t="inlineStr">
        <is>
          <t xml:space="preserve">This name is incorrect. This number belongs to me, not to this name. ‫أُرسلت من الـ iPhone‬  &gt; ‫في 29‏/10‏/2025 الساعة 1:21 م، كتب/كتبت mabajmi@gmail.com:‬ &gt;  &gt; ﻿ &gt; Hello! How can we help you? &gt;  &gt; Report مراكش منصور- : 55368836 &gt;  &gt;  &gt; ‫أُرسلت من الـ iPhone‬ </t>
        </is>
      </c>
      <c r="E155" s="7" t="inlineStr">
        <is>
          <t>55368836</t>
        </is>
      </c>
    </row>
    <row r="156" ht="18" customHeight="1">
      <c r="A156" s="2" t="inlineStr">
        <is>
          <t>mabajmi@gmail.com</t>
        </is>
      </c>
      <c r="B156" s="3" t="inlineStr">
        <is>
          <t>mabajmi@gmail.com</t>
        </is>
      </c>
      <c r="C156" s="2" t="inlineStr">
        <is>
          <t xml:space="preserve">Re: </t>
        </is>
      </c>
      <c r="D156" s="2" t="inlineStr">
        <is>
          <t xml:space="preserve">This name is incorrect. This number belongs to me, not to this name. ‫أُرسلت من الـ iPhone‬  &gt; ‫في 29‏/10‏/2025 الساعة 1:21 م، كتب/كتبت mabajmi@gmail.com:‬ &gt;  &gt; ﻿ &gt; Hello! How can we help you? &gt;  &gt; Report موضي علي- : 55368836 &gt;  &gt;  &gt; ‫أُرسلت من الـ iPhone‬ </t>
        </is>
      </c>
      <c r="E156" s="4" t="inlineStr">
        <is>
          <t>55368836</t>
        </is>
      </c>
    </row>
    <row r="157" ht="18" customHeight="1">
      <c r="A157" s="5" t="inlineStr">
        <is>
          <t>mabajmi@gmail.com</t>
        </is>
      </c>
      <c r="B157" s="6" t="inlineStr">
        <is>
          <t>mabajmi@gmail.com</t>
        </is>
      </c>
      <c r="C157" s="5" t="inlineStr">
        <is>
          <t xml:space="preserve">Re: </t>
        </is>
      </c>
      <c r="D157" s="5" t="inlineStr">
        <is>
          <t xml:space="preserve">This name is incorrect. This number belongs to me, not to this name. ‫أُرسلت من الـ iPhone‬  &gt; ‫في 29‏/10‏/2025 الساعة 1:24 م، كتب/كتبت mabajmi@gmail.com:‬ &gt;  &gt; ﻿ &gt; Hello! How can we help you? &gt;  &gt; Report الحربي ✋ : 55368836 &gt;  &gt;  &gt; ‫أُرسلت من الـ iPhone‬ </t>
        </is>
      </c>
      <c r="E157" s="7" t="inlineStr">
        <is>
          <t>55368836</t>
        </is>
      </c>
    </row>
    <row r="158" ht="18" customHeight="1">
      <c r="A158" s="2" t="inlineStr">
        <is>
          <t>mabajmi@gmail.com</t>
        </is>
      </c>
      <c r="B158" s="3" t="inlineStr">
        <is>
          <t>mabajmi@gmail.com</t>
        </is>
      </c>
      <c r="C158" s="2" t="inlineStr">
        <is>
          <t xml:space="preserve">Re: </t>
        </is>
      </c>
      <c r="D158" s="2" t="inlineStr">
        <is>
          <t xml:space="preserve">This name is incorrect. This number belongs to me, not to this name. ‫أُرسلت من الـ iPhone‬  &gt; ‫في 29‏/10‏/2025 الساعة 1:20 م، كتب/كتبت mabajmi@gmail.com:‬ &gt;  &gt; ﻿ &gt; Hello! How can we help you? &gt;  &gt; Report موضي ك10 ص ناصر- : 55368836 &gt;  &gt;  &gt; ‫أُرسلت من الـ iPhone‬ </t>
        </is>
      </c>
      <c r="E158" s="4" t="inlineStr">
        <is>
          <t>55368836</t>
        </is>
      </c>
    </row>
    <row r="159" ht="18" customHeight="1">
      <c r="A159" s="5" t="inlineStr">
        <is>
          <t>mabajmi@gmail.com</t>
        </is>
      </c>
      <c r="B159" s="6" t="inlineStr">
        <is>
          <t>mabajmi@gmail.com</t>
        </is>
      </c>
      <c r="C159" s="5" t="inlineStr">
        <is>
          <t xml:space="preserve">Re: </t>
        </is>
      </c>
      <c r="D159" s="5" t="inlineStr">
        <is>
          <t xml:space="preserve">This name is incorrect. This number belongs to me, not to this name. ‫أُرسلت من الـ iPhone‬  &gt; ‫في 29‏/10‏/2025 الساعة 1:21 م، كتب/كتبت mabajmi@gmail.com:‬ &gt;  &gt; ﻿ &gt; Hello! How can we help you? &gt;  &gt; Report موضي علي 2- : 55368836 &gt;  &gt;  &gt; ‫أُرسلت من الـ iPhone‬ </t>
        </is>
      </c>
      <c r="E159" s="7" t="inlineStr">
        <is>
          <t>55368836</t>
        </is>
      </c>
    </row>
    <row r="160" ht="18" customHeight="1">
      <c r="A160" s="2" t="inlineStr">
        <is>
          <t>mabajmi@gmail.com</t>
        </is>
      </c>
      <c r="B160" s="3" t="inlineStr">
        <is>
          <t>mabajmi@gmail.com</t>
        </is>
      </c>
      <c r="C160" s="2" t="inlineStr">
        <is>
          <t xml:space="preserve">Re: </t>
        </is>
      </c>
      <c r="D160" s="2" t="inlineStr">
        <is>
          <t xml:space="preserve">This name is incorrect. This number belongs to me, not to this name. ‫أُرسلت من الـ iPhone‬  &gt; ‫في 29‏/10‏/2025 الساعة 1:22 م، كتب/كتبت mabajmi@gmail.com:‬ &gt;  &gt; ﻿ &gt; Hello! How can we help you? &gt;  &gt; Report موفي : 55368836 &gt;  &gt;  &gt; ‫أُرسلت من الـ iPhone‬ </t>
        </is>
      </c>
      <c r="E160" s="4" t="inlineStr">
        <is>
          <t>55368836</t>
        </is>
      </c>
    </row>
    <row r="161" ht="18" customHeight="1">
      <c r="A161" s="5" t="inlineStr">
        <is>
          <t>mabajmi@gmail.com</t>
        </is>
      </c>
      <c r="B161" s="6" t="inlineStr">
        <is>
          <t>mabajmi@gmail.com</t>
        </is>
      </c>
      <c r="C161" s="5" t="inlineStr">
        <is>
          <t xml:space="preserve">Re: </t>
        </is>
      </c>
      <c r="D161" s="5" t="inlineStr">
        <is>
          <t xml:space="preserve">This name is incorrect. This number belongs to me, not to this name. ‫أُرسلت من الـ iPhone‬  &gt; ‫في 29‏/10‏/2025 الساعة 1:22 م، كتب/كتبت mabajmi@gmail.com:‬ &gt;  &gt; ﻿ &gt; Hello! How can we help you? &gt;  &gt; Report مسؤل السيارات منصؤر : 55368836 &gt;  &gt;  &gt; ‫أُرسلت من الـ iPhone‬ </t>
        </is>
      </c>
      <c r="E161" s="7" t="inlineStr">
        <is>
          <t>55368836</t>
        </is>
      </c>
    </row>
    <row r="162" ht="18" customHeight="1">
      <c r="A162" s="2" t="inlineStr">
        <is>
          <t>mabajmi@gmail.com</t>
        </is>
      </c>
      <c r="B162" s="3" t="inlineStr">
        <is>
          <t>mabajmi@gmail.com</t>
        </is>
      </c>
      <c r="C162" s="2" t="inlineStr">
        <is>
          <t xml:space="preserve">Re: </t>
        </is>
      </c>
      <c r="D162" s="2" t="inlineStr">
        <is>
          <t xml:space="preserve">This name is incorrect. This number belongs to me, not to this name. ‫أُرسلت من الـ iPhone‬  &gt; ‫في 29‏/10‏/2025 الساعة 1:21 م، كتب/كتبت mabajmi@gmail.com:‬ &gt;  &gt; ﻿ &gt; Hello! How can we help you? &gt;  &gt; Report اليمني- : 55368836 &gt;  &gt;  &gt; ‫أُرسلت من الـ iPhone‬ </t>
        </is>
      </c>
      <c r="E162" s="4" t="inlineStr">
        <is>
          <t>55368836</t>
        </is>
      </c>
    </row>
    <row r="163" ht="18" customHeight="1">
      <c r="A163" s="5" t="inlineStr">
        <is>
          <t>mabajmi@gmail.com</t>
        </is>
      </c>
      <c r="B163" s="6" t="inlineStr">
        <is>
          <t>mabajmi@gmail.com</t>
        </is>
      </c>
      <c r="C163" s="5" t="inlineStr">
        <is>
          <t xml:space="preserve">Re: </t>
        </is>
      </c>
      <c r="D163" s="5" t="inlineStr">
        <is>
          <t xml:space="preserve">This name is incorrect. This number belongs to me, not to this name. ‫أُرسلت من الـ iPhone‬  &gt; ‫في 29‏/10‏/2025 الساعة 1:24 م، كتب/كتبت mabajmi@gmail.com:‬ &gt;  &gt; ﻿ &gt; Hello! How can we help you? &gt;  &gt; Report ~Unknown~37 : 55368836 &gt;  &gt;  &gt; ‫أُرسلت من الـ iPhone‬ </t>
        </is>
      </c>
      <c r="E163" s="7" t="inlineStr">
        <is>
          <t>55368836</t>
        </is>
      </c>
    </row>
    <row r="164" ht="18" customHeight="1">
      <c r="A164" s="2" t="inlineStr">
        <is>
          <t>mabajmi@gmail.com</t>
        </is>
      </c>
      <c r="B164" s="3" t="inlineStr">
        <is>
          <t>mabajmi@gmail.com</t>
        </is>
      </c>
      <c r="C164" s="2" t="inlineStr">
        <is>
          <t xml:space="preserve">Re: </t>
        </is>
      </c>
      <c r="D164" s="2" t="inlineStr">
        <is>
          <t xml:space="preserve">This name is incorrect. This number belongs to me, not to this name. ‫أُرسلت من الـ iPhone‬  &gt; ‫في 29‏/10‏/2025 الساعة 1:20 م، كتب/كتبت mabajmi@gmail.com:‬ &gt;  &gt; ﻿ &gt; Hello! How can we help you? &gt;  &gt; Report مـوضـي الـبـراك ♡- : 55368836 &gt;  &gt;  &gt; ‫أُرسلت من الـ iPhone‬ </t>
        </is>
      </c>
      <c r="E164" s="4" t="inlineStr">
        <is>
          <t>55368836</t>
        </is>
      </c>
    </row>
    <row r="165" ht="18" customHeight="1">
      <c r="A165" s="5" t="inlineStr">
        <is>
          <t>mabajmi@gmail.com</t>
        </is>
      </c>
      <c r="B165" s="6" t="inlineStr">
        <is>
          <t>mabajmi@gmail.com</t>
        </is>
      </c>
      <c r="C165" s="5" t="inlineStr">
        <is>
          <t xml:space="preserve">Re: </t>
        </is>
      </c>
      <c r="D165" s="5" t="inlineStr">
        <is>
          <t xml:space="preserve">This name is incorrect. This number belongs to me, not to this name. ‫أُرسلت من الـ iPhone‬  &gt; ‫في 29‏/10‏/2025 الساعة 1:23 م، كتب/كتبت mabajmi@gmail.com:‬ &gt;  &gt; ﻿ &gt; Hello! How can we help you? &gt;  &gt; Report موضيي : 55368836 &gt;  &gt;  &gt; ‫أُرسلت من الـ iPhone‬ </t>
        </is>
      </c>
      <c r="E165" s="7" t="inlineStr">
        <is>
          <t>55368836</t>
        </is>
      </c>
    </row>
    <row r="166" ht="18" customHeight="1">
      <c r="A166" s="2" t="inlineStr">
        <is>
          <t>mabajmi@gmail.com</t>
        </is>
      </c>
      <c r="B166" s="3" t="inlineStr">
        <is>
          <t>mabajmi@gmail.com</t>
        </is>
      </c>
      <c r="C166" s="2" t="inlineStr">
        <is>
          <t xml:space="preserve">Re: </t>
        </is>
      </c>
      <c r="D166" s="2" t="inlineStr">
        <is>
          <t xml:space="preserve">This name is incorrect. This number belongs to me, not to this name. ‫أُرسلت من الـ iPhone‬  &gt; ‫في 29‏/10‏/2025 الساعة 1:24 م، كتب/كتبت mabajmi@gmail.com:‬ &gt;  &gt; ﻿ &gt; Hello! How can we help you? &gt;  &gt; Report Mouthyaa : 55368836 &gt;  &gt;  &gt; ‫أُرسلت من الـ iPhone‬ </t>
        </is>
      </c>
      <c r="E166" s="4" t="inlineStr">
        <is>
          <t>55368836</t>
        </is>
      </c>
    </row>
    <row r="167" ht="18" customHeight="1">
      <c r="A167" s="5" t="inlineStr">
        <is>
          <t>mabajmi@gmail.com</t>
        </is>
      </c>
      <c r="B167" s="6" t="inlineStr">
        <is>
          <t>mabajmi@gmail.com</t>
        </is>
      </c>
      <c r="C167" s="5" t="inlineStr">
        <is>
          <t xml:space="preserve">Re: </t>
        </is>
      </c>
      <c r="D167" s="5" t="inlineStr">
        <is>
          <t xml:space="preserve">This name is incorrect. This number belongs to me, not to this name. ‫أُرسلت من الـ iPhone‬  &gt; ‫في 29‏/10‏/2025 الساعة 1:23 م، كتب/كتبت mabajmi@gmail.com:‬ &gt;  &gt; ﻿ &gt; Hello! How can we help you? &gt;  &gt; Report 3abdalah brather . : 55368836 &gt;  &gt;  &gt; ‫أُرسلت من الـ iPhone‬ </t>
        </is>
      </c>
      <c r="E167" s="7" t="inlineStr">
        <is>
          <t>55368836</t>
        </is>
      </c>
    </row>
    <row r="168" ht="18" customHeight="1">
      <c r="A168" s="2" t="inlineStr">
        <is>
          <t>mabajmi@gmail.com</t>
        </is>
      </c>
      <c r="B168" s="3" t="inlineStr">
        <is>
          <t>mabajmi@gmail.com</t>
        </is>
      </c>
      <c r="C168" s="2" t="inlineStr">
        <is>
          <t xml:space="preserve">Re: </t>
        </is>
      </c>
      <c r="D168" s="2" t="inlineStr">
        <is>
          <t xml:space="preserve">This name is incorrect. This number belongs to me, not to this name. ‫أُرسلت من الـ iPhone‬  &gt; ‫في 29‏/10‏/2025 الساعة 1:22 م، كتب/كتبت mabajmi@gmail.com:‬ &gt;  &gt; ﻿ &gt; Hello! How can we help you? &gt;  &gt; Report عبدالله الحربي : 55368836 &gt;  &gt;  &gt; ‫أُرسلت من الـ iPhone‬ </t>
        </is>
      </c>
      <c r="E168" s="4" t="inlineStr">
        <is>
          <t>55368836</t>
        </is>
      </c>
    </row>
    <row r="169" ht="18" customHeight="1">
      <c r="A169" s="5" t="inlineStr">
        <is>
          <t>mabajmi@gmail.com</t>
        </is>
      </c>
      <c r="B169" s="6" t="inlineStr">
        <is>
          <t>mabajmi@gmail.com</t>
        </is>
      </c>
      <c r="C169" s="5" t="inlineStr">
        <is>
          <t xml:space="preserve">Re: </t>
        </is>
      </c>
      <c r="D169" s="5" t="inlineStr">
        <is>
          <t xml:space="preserve">This name is incorrect. This number belongs to me, not to this name. ‫أُرسلت من الـ iPhone‬  &gt; ‫في 29‏/10‏/2025 الساعة 1:22 م، كتب/كتبت mabajmi@gmail.com:‬ &gt;  &gt; ﻿ &gt; Hello! How can we help you? &gt;  &gt; Report موضي-علي : 55368836 &gt;  &gt;  &gt; ‫أُرسلت من الـ iPhone‬ </t>
        </is>
      </c>
      <c r="E169" s="7" t="inlineStr">
        <is>
          <t>55368836</t>
        </is>
      </c>
    </row>
    <row r="170" ht="18" customHeight="1">
      <c r="A170" s="2" t="inlineStr">
        <is>
          <t>mabajmi@gmail.com</t>
        </is>
      </c>
      <c r="B170" s="3" t="inlineStr">
        <is>
          <t>mabajmi@gmail.com</t>
        </is>
      </c>
      <c r="C170" s="2" t="inlineStr">
        <is>
          <t xml:space="preserve">Re: </t>
        </is>
      </c>
      <c r="D170" s="2" t="inlineStr">
        <is>
          <t xml:space="preserve">This name is incorrect. This number belongs to me, not to this name. ‫أُرسلت من الـ iPhone‬  &gt; ‫في 29‏/10‏/2025 الساعة 1:23 م، كتب/كتبت mabajmi@gmail.com:‬ &gt;  &gt; ﻿ &gt; Hello! How can we help you? &gt;  &gt; Report عبدالله جارييييي : 55368836 &gt;  &gt;  &gt; ‫أُرسلت من الـ iPhone‬ </t>
        </is>
      </c>
      <c r="E170" s="4" t="inlineStr">
        <is>
          <t>55368836</t>
        </is>
      </c>
    </row>
    <row r="171" ht="18" customHeight="1">
      <c r="A171" s="5" t="inlineStr">
        <is>
          <t>mabajmi@gmail.com</t>
        </is>
      </c>
      <c r="B171" s="6" t="inlineStr">
        <is>
          <t>mabajmi@gmail.com</t>
        </is>
      </c>
      <c r="C171" s="5" t="inlineStr">
        <is>
          <t xml:space="preserve">Re: </t>
        </is>
      </c>
      <c r="D171" s="5" t="inlineStr">
        <is>
          <t xml:space="preserve">This name is incorrect. This number belongs to me, not to this name. ‫أُرسلت من الـ iPhone‬  &gt; ‫في 29‏/10‏/2025 الساعة 1:17 م، كتب/كتبت mabajmi@gmail.com:‬ &gt;  &gt; ﻿ &gt; Hello! How can we help you? &gt;  &gt; Report المنقف : 65922668 &gt;  &gt;  &gt; ‫أُرسلت من الـ iPhone‬ </t>
        </is>
      </c>
      <c r="E171" s="7" t="inlineStr">
        <is>
          <t>65922668</t>
        </is>
      </c>
    </row>
    <row r="172" ht="18" customHeight="1">
      <c r="A172" s="2" t="inlineStr">
        <is>
          <t>mabajmi@gmail.com</t>
        </is>
      </c>
      <c r="B172" s="3" t="inlineStr">
        <is>
          <t>mabajmi@gmail.com</t>
        </is>
      </c>
      <c r="C172" s="2" t="inlineStr">
        <is>
          <t xml:space="preserve">Re: </t>
        </is>
      </c>
      <c r="D172" s="2" t="inlineStr">
        <is>
          <t xml:space="preserve">This name is incorrect. This number belongs to me, not to this name. ‫أُرسلت من الـ iPhone‬  &gt; ‫في 29‏/10‏/2025 الساعة 1:23 م، كتب/كتبت mabajmi@gmail.com:‬ &gt;  &gt; ﻿ &gt; Hello! How can we help you? &gt;  &gt; Report عبدالله حربي : 55368836 &gt;  &gt;  &gt; ‫أُرسلت من الـ iPhone‬ </t>
        </is>
      </c>
      <c r="E172" s="4" t="inlineStr">
        <is>
          <t>55368836</t>
        </is>
      </c>
    </row>
    <row r="173" ht="18" customHeight="1">
      <c r="A173" s="5" t="inlineStr">
        <is>
          <t>mabajmi@gmail.com</t>
        </is>
      </c>
      <c r="B173" s="6" t="inlineStr">
        <is>
          <t>mabajmi@gmail.com</t>
        </is>
      </c>
      <c r="C173" s="5" t="inlineStr">
        <is>
          <t xml:space="preserve">Re: </t>
        </is>
      </c>
      <c r="D173" s="5" t="inlineStr">
        <is>
          <t xml:space="preserve">This name is incorrect. This number belongs to me, not to this name. ‫أُرسلت من الـ iPhone‬  &gt; ‫في 29‏/10‏/2025 الساعة 1:23 م، كتب/كتبت mabajmi@gmail.com:‬ &gt;  &gt; ﻿ &gt; Hello! How can we help you? &gt;  &gt; Report عبدالله سلطان الحربي : 55368836 &gt;  &gt;  &gt; ‫أُرسلت من الـ iPhone‬ </t>
        </is>
      </c>
      <c r="E173" s="7" t="inlineStr">
        <is>
          <t>55368836</t>
        </is>
      </c>
    </row>
    <row r="174" ht="18" customHeight="1">
      <c r="A174" s="2" t="inlineStr">
        <is>
          <t>mabajmi@gmail.com</t>
        </is>
      </c>
      <c r="B174" s="3" t="inlineStr">
        <is>
          <t>mabajmi@gmail.com</t>
        </is>
      </c>
      <c r="C174" s="2" t="inlineStr">
        <is>
          <t xml:space="preserve">Re: </t>
        </is>
      </c>
      <c r="D174" s="2" t="inlineStr">
        <is>
          <t xml:space="preserve">This name is incorrect. This number belongs to me, not to this name. ‫أُرسلت من الـ iPhone‬  &gt; ‫في 29‏/10‏/2025 الساعة 1:23 م، كتب/كتبت mabajmi@gmail.com:‬ &gt;  &gt; ﻿ &gt; Hello! How can we help you? &gt;  &gt; Report عبدالله الحربي2 : 55368836 &gt;  &gt;  &gt; ‫أُرسلت من الـ iPhone‬ </t>
        </is>
      </c>
      <c r="E174" s="4" t="inlineStr">
        <is>
          <t>55368836</t>
        </is>
      </c>
    </row>
    <row r="175" ht="18" customHeight="1">
      <c r="A175" s="5" t="inlineStr">
        <is>
          <t>mabajmi@gmail.com</t>
        </is>
      </c>
      <c r="B175" s="6" t="inlineStr">
        <is>
          <t>mabajmi@gmail.com</t>
        </is>
      </c>
      <c r="C175" s="5" t="inlineStr">
        <is>
          <t xml:space="preserve">Re: </t>
        </is>
      </c>
      <c r="D175" s="5" t="inlineStr">
        <is>
          <t xml:space="preserve">This name is incorrect. This number belongs to me, not to this name. ‫أُرسلت من الـ iPhone‬  &gt; ‫في 29‏/10‏/2025 الساعة 1:23 م، كتب/كتبت mabajmi@gmail.com:‬ &gt;  &gt; ﻿ &gt; Hello! How can we help you? &gt;  &gt; Report عبدالله سلطان الجلهمي ولد اختي : 55368836 &gt;  &gt;  &gt; ‫أُرسلت من الـ iPhone‬ </t>
        </is>
      </c>
      <c r="E175" s="7" t="inlineStr">
        <is>
          <t>55368836</t>
        </is>
      </c>
    </row>
    <row r="176" ht="18" customHeight="1">
      <c r="A176" s="2" t="inlineStr">
        <is>
          <t>mabajmi@gmail.com</t>
        </is>
      </c>
      <c r="B176" s="3" t="inlineStr">
        <is>
          <t>mabajmi@gmail.com</t>
        </is>
      </c>
      <c r="C176" s="2" t="inlineStr">
        <is>
          <t xml:space="preserve">Re: </t>
        </is>
      </c>
      <c r="D176" s="2" t="inlineStr">
        <is>
          <t xml:space="preserve">This name is incorrect. This number belongs to me, not to this name. ‫أُرسلت من الـ iPhone‬  &gt; ‫في 29‏/10‏/2025 الساعة 1:23 م، كتب/كتبت mabajmi@gmail.com:‬ &gt;  &gt; ﻿ &gt; Hello! How can we help you? &gt;  &gt; Report عبدالله اخو سعود : 55368836 &gt;  &gt;  &gt; ‫أُرسلت من الـ iPhone‬ </t>
        </is>
      </c>
      <c r="E176" s="4" t="inlineStr">
        <is>
          <t>55368836</t>
        </is>
      </c>
    </row>
    <row r="177" ht="18" customHeight="1">
      <c r="A177" s="5" t="inlineStr">
        <is>
          <t>mabajmi@gmail.com</t>
        </is>
      </c>
      <c r="B177" s="6" t="inlineStr">
        <is>
          <t>mabajmi@gmail.com</t>
        </is>
      </c>
      <c r="C177" s="5" t="inlineStr">
        <is>
          <t xml:space="preserve">Re: </t>
        </is>
      </c>
      <c r="D177" s="5" t="inlineStr">
        <is>
          <t xml:space="preserve">This name is incorrect. This number belongs to me, not to this name. ‫أُرسلت من الـ iPhone‬  &gt; ‫في 29‏/10‏/2025 الساعة 1:14 م، كتب/كتبت mabajmi@gmail.com:‬ &gt;  &gt; ﻿ &gt; Hello! How can we help you? &gt;  &gt; Report ا- : 60008980 &gt;  &gt;  &gt; ‫أُرسلت من الـ iPhone‬ </t>
        </is>
      </c>
      <c r="E177" s="7" t="inlineStr">
        <is>
          <t>60008980</t>
        </is>
      </c>
    </row>
    <row r="178" ht="18" customHeight="1">
      <c r="A178" s="2" t="inlineStr">
        <is>
          <t>mabajmi@gmail.com</t>
        </is>
      </c>
      <c r="B178" s="3" t="inlineStr">
        <is>
          <t>mabajmi@gmail.com</t>
        </is>
      </c>
      <c r="C178" s="2" t="inlineStr">
        <is>
          <t xml:space="preserve">Re: </t>
        </is>
      </c>
      <c r="D178" s="2" t="inlineStr">
        <is>
          <t xml:space="preserve">This name is incorrect. This number belongs to me, not to this name. ‫أُرسلت من الـ iPhone‬  &gt; ‫في 29‏/10‏/2025 الساعة 1:22 م، كتب/كتبت mabajmi@gmail.com:‬ &gt;  &gt; ﻿ &gt; Hello! How can we help you? &gt;  &gt; Report Moudhi Albarrak- : 55368836 &gt;  &gt;  &gt; ‫أُرسلت من الـ iPhone‬ </t>
        </is>
      </c>
      <c r="E178" s="4" t="inlineStr">
        <is>
          <t>55368836</t>
        </is>
      </c>
    </row>
    <row r="179" ht="18" customHeight="1">
      <c r="A179" s="5" t="inlineStr">
        <is>
          <t>"Galak ...." &lt;galak-90@hotmail.com&gt;</t>
        </is>
      </c>
      <c r="B179" s="6" t="inlineStr">
        <is>
          <t>galak-90@hotmail.com</t>
        </is>
      </c>
      <c r="C179" s="5">
        <f>?utf-8?B?2KfZhNix2KzYp9ihINil2LLYp9mE2Ycg2KfZhNin2LPZhSDZhNiu2LXZiNi1?=  =?utf-8?B?2YrZhw==?=</f>
        <v/>
      </c>
      <c r="D179" s="5" t="inlineStr">
        <is>
          <t xml:space="preserve">Hello! How can we help you?  Report التبويض : 55002538  ‫أُرسلت من الـ iPhone‬ </t>
        </is>
      </c>
      <c r="E179" s="7" t="inlineStr">
        <is>
          <t>55002538</t>
        </is>
      </c>
    </row>
    <row r="180" ht="18" customHeight="1">
      <c r="A180" s="2" t="inlineStr">
        <is>
          <t>Aliah Almutaire &lt;aliahalmutairee@icloud.com&gt;</t>
        </is>
      </c>
      <c r="B180" s="3" t="inlineStr">
        <is>
          <t>aliahalmutairee@icloud.com</t>
        </is>
      </c>
      <c r="C180" s="2">
        <f>?utf-8?B?2KfZhNi62KfYoQ==?=</f>
        <v/>
      </c>
      <c r="D180" s="2" t="inlineStr">
        <is>
          <t>Hello! How can we help you?  Report اوك العنوان صباح الناصر ق2س7 م25 : 98884018   ‫أُرسلت من الـ iPhone‬</t>
        </is>
      </c>
      <c r="E180" s="4" t="inlineStr">
        <is>
          <t>98884018</t>
        </is>
      </c>
    </row>
    <row r="181" ht="18" customHeight="1">
      <c r="A181" s="5" t="inlineStr">
        <is>
          <t>Mon Osh &lt;mno0shii.sh98@gmail.com&gt;</t>
        </is>
      </c>
      <c r="B181" s="6" t="inlineStr">
        <is>
          <t>mno0shii.sh98@gmail.com</t>
        </is>
      </c>
      <c r="C181" s="5" t="inlineStr"/>
      <c r="D181" s="5" t="inlineStr">
        <is>
          <t>Hello! How can we help you?  Report متطفلين حسب بلاغات من بلدك KW :   ‫أُرسلت من الـ iPhone‬</t>
        </is>
      </c>
      <c r="E181" s="7" t="inlineStr"/>
    </row>
    <row r="182" ht="18" customHeight="1">
      <c r="A182" s="2" t="inlineStr">
        <is>
          <t>muhammed alsaleem &lt;Hamooodking@hotmail.com&gt;</t>
        </is>
      </c>
      <c r="B182" s="3" t="inlineStr">
        <is>
          <t>Hamooodking@hotmail.com</t>
        </is>
      </c>
      <c r="C182" s="2" t="inlineStr">
        <is>
          <t xml:space="preserve">This name is not acceptable for me, i want to delete it </t>
        </is>
      </c>
      <c r="D182" s="2" t="inlineStr">
        <is>
          <t xml:space="preserve">Hello! How can we help you?  Report جلب عالبحر وانيت احمر 95- : 97745386  Sent from my iPhone </t>
        </is>
      </c>
      <c r="E182" s="4" t="inlineStr">
        <is>
          <t>97745386</t>
        </is>
      </c>
    </row>
    <row r="183" ht="18" customHeight="1">
      <c r="A183" s="5" t="inlineStr">
        <is>
          <t>muhammed alsaleem &lt;Hamooodking@hotmail.com&gt;</t>
        </is>
      </c>
      <c r="B183" s="6" t="inlineStr">
        <is>
          <t>Hamooodking@hotmail.com</t>
        </is>
      </c>
      <c r="C183" s="5" t="inlineStr">
        <is>
          <t xml:space="preserve">This name is not acceptable for me, i want to delete it </t>
        </is>
      </c>
      <c r="D183" s="5" t="inlineStr">
        <is>
          <t xml:space="preserve">Hello! How can we help you?  Report جلب عالبحر وانيت احمر 95- : 97745386  Sent from my iPhone </t>
        </is>
      </c>
      <c r="E183" s="7" t="inlineStr">
        <is>
          <t>97745386</t>
        </is>
      </c>
    </row>
    <row r="184" ht="18" customHeight="1">
      <c r="A184" s="2" t="inlineStr">
        <is>
          <t>muhammed alsaleem &lt;Hamooodking@hotmail.com&gt;</t>
        </is>
      </c>
      <c r="B184" s="3" t="inlineStr">
        <is>
          <t>Hamooodking@hotmail.com</t>
        </is>
      </c>
      <c r="C184" s="2" t="inlineStr">
        <is>
          <t xml:space="preserve">This name is not acceptable for me i want to remove it </t>
        </is>
      </c>
      <c r="D184" s="2" t="inlineStr">
        <is>
          <t xml:space="preserve">Hello! How can we help you?  Report Hamood -Dalias Bf : 97745386  Sent from my iPhone </t>
        </is>
      </c>
      <c r="E184" s="4" t="inlineStr">
        <is>
          <t>97745386</t>
        </is>
      </c>
    </row>
    <row r="185" ht="18" customHeight="1">
      <c r="A185" s="5" t="inlineStr">
        <is>
          <t>EMAD ALOQAB &lt;e-kuw@hotmail.com&gt;</t>
        </is>
      </c>
      <c r="B185" s="6" t="inlineStr">
        <is>
          <t>e-kuw@hotmail.com</t>
        </is>
      </c>
      <c r="C185" s="5" t="inlineStr"/>
      <c r="D185" s="5" t="inlineStr">
        <is>
          <t xml:space="preserve">Hello! How can we help you?  Report خالي عماد : 60675111 </t>
        </is>
      </c>
      <c r="E185" s="7" t="inlineStr">
        <is>
          <t>60675111</t>
        </is>
      </c>
    </row>
    <row r="186" ht="18" customHeight="1">
      <c r="A186" s="2" t="inlineStr">
        <is>
          <t>EMAD ALOQAB &lt;e-kuw@hotmail.com&gt;</t>
        </is>
      </c>
      <c r="B186" s="3" t="inlineStr">
        <is>
          <t>e-kuw@hotmail.com</t>
        </is>
      </c>
      <c r="C186" s="2" t="inlineStr"/>
      <c r="D186" s="2" t="inlineStr">
        <is>
          <t xml:space="preserve">Hello! How can we help you?  Report عماد العقاب : 60675111 </t>
        </is>
      </c>
      <c r="E186" s="4" t="inlineStr">
        <is>
          <t>60675111</t>
        </is>
      </c>
    </row>
    <row r="187" ht="18" customHeight="1">
      <c r="A187" s="5" t="inlineStr">
        <is>
          <t>EMAD ALOQAB &lt;e-kuw@hotmail.com&gt;</t>
        </is>
      </c>
      <c r="B187" s="6" t="inlineStr">
        <is>
          <t>e-kuw@hotmail.com</t>
        </is>
      </c>
      <c r="C187" s="5" t="inlineStr"/>
      <c r="D187" s="5" t="inlineStr">
        <is>
          <t xml:space="preserve">Hello! How can we help you?  Report عماد خميس عقاب : 60675111 </t>
        </is>
      </c>
      <c r="E187" s="7" t="inlineStr">
        <is>
          <t>60675111</t>
        </is>
      </c>
    </row>
    <row r="188" ht="18" customHeight="1">
      <c r="A188" s="2" t="inlineStr">
        <is>
          <t>EMAD ALOQAB &lt;e-kuw@hotmail.com&gt;</t>
        </is>
      </c>
      <c r="B188" s="3" t="inlineStr">
        <is>
          <t>e-kuw@hotmail.com</t>
        </is>
      </c>
      <c r="C188" s="2" t="inlineStr"/>
      <c r="D188" s="2" t="inlineStr">
        <is>
          <t xml:space="preserve">Hello! How can we help you?  Report عماد خميس العقاب : 60675111 </t>
        </is>
      </c>
      <c r="E188" s="4" t="inlineStr">
        <is>
          <t>60675111</t>
        </is>
      </c>
    </row>
    <row r="189" ht="18" customHeight="1">
      <c r="A189" s="5" t="inlineStr">
        <is>
          <t>EMAD ALOQAB &lt;e-kuw@hotmail.com&gt;</t>
        </is>
      </c>
      <c r="B189" s="6" t="inlineStr">
        <is>
          <t>e-kuw@hotmail.com</t>
        </is>
      </c>
      <c r="C189" s="5" t="inlineStr"/>
      <c r="D189" s="5" t="inlineStr">
        <is>
          <t xml:space="preserve">Hello! How can we help you?  Report عماد العقاب 2 : 60675111 </t>
        </is>
      </c>
      <c r="E189" s="7" t="inlineStr">
        <is>
          <t>60675111</t>
        </is>
      </c>
    </row>
    <row r="190" ht="18" customHeight="1">
      <c r="A190" s="2" t="inlineStr">
        <is>
          <t>EMAD ALOQAB &lt;e-kuw@hotmail.com&gt;</t>
        </is>
      </c>
      <c r="B190" s="3" t="inlineStr">
        <is>
          <t>e-kuw@hotmail.com</t>
        </is>
      </c>
      <c r="C190" s="2" t="inlineStr"/>
      <c r="D190" s="2" t="inlineStr">
        <is>
          <t xml:space="preserve">Hello! How can we help you?  Report عماد العازمي : 60675111 </t>
        </is>
      </c>
      <c r="E190" s="4" t="inlineStr">
        <is>
          <t>60675111</t>
        </is>
      </c>
    </row>
    <row r="191" ht="18" customHeight="1">
      <c r="A191" s="5" t="inlineStr">
        <is>
          <t>EMAD ALOQAB &lt;e-kuw@hotmail.com&gt;</t>
        </is>
      </c>
      <c r="B191" s="6" t="inlineStr">
        <is>
          <t>e-kuw@hotmail.com</t>
        </is>
      </c>
      <c r="C191" s="5" t="inlineStr"/>
      <c r="D191" s="5" t="inlineStr">
        <is>
          <t xml:space="preserve">Hello! How can we help you?  Report ا.عماد العازمي : 60675111 </t>
        </is>
      </c>
      <c r="E191" s="7" t="inlineStr">
        <is>
          <t>60675111</t>
        </is>
      </c>
    </row>
    <row r="192" ht="18" customHeight="1">
      <c r="A192" s="2" t="inlineStr">
        <is>
          <t>EMAD ALOQAB &lt;e-kuw@hotmail.com&gt;</t>
        </is>
      </c>
      <c r="B192" s="3" t="inlineStr">
        <is>
          <t>e-kuw@hotmail.com</t>
        </is>
      </c>
      <c r="C192" s="2" t="inlineStr"/>
      <c r="D192" s="2" t="inlineStr">
        <is>
          <t xml:space="preserve">Hello! How can we help you?  Report El3mer Kila : 60675111 </t>
        </is>
      </c>
      <c r="E192" s="4" t="inlineStr">
        <is>
          <t>60675111</t>
        </is>
      </c>
    </row>
    <row r="193" ht="18" customHeight="1">
      <c r="A193" s="5" t="inlineStr">
        <is>
          <t>EMAD ALOQAB &lt;e-kuw@hotmail.com&gt;</t>
        </is>
      </c>
      <c r="B193" s="6" t="inlineStr">
        <is>
          <t>e-kuw@hotmail.com</t>
        </is>
      </c>
      <c r="C193" s="5" t="inlineStr"/>
      <c r="D193" s="5" t="inlineStr">
        <is>
          <t xml:space="preserve">Hello! How can we help you?  Report ام عماد : 60675111 </t>
        </is>
      </c>
      <c r="E193" s="7" t="inlineStr">
        <is>
          <t>60675111</t>
        </is>
      </c>
    </row>
    <row r="194" ht="18" customHeight="1">
      <c r="A194" s="2">
        <f>?utf-8?B?2YXYrdmF2K8g2KfZhNmF2LfYsdmB2Yo=?= &lt;almtrfym19@gmail.com&gt;</f>
        <v/>
      </c>
      <c r="B194" s="3" t="inlineStr">
        <is>
          <t>almtrfym19@gmail.com</t>
        </is>
      </c>
      <c r="C194" s="2">
        <f>?utf-8?B?2LTYt9ioINin2YTYp9iz2YUg?=</f>
        <v/>
      </c>
      <c r="D194" s="2" t="inlineStr">
        <is>
          <t>Hello! How can we help you?  Report عايد سويد الهرف- : 99044379   ‫أُرسلت من الـ iPhone‬</t>
        </is>
      </c>
      <c r="E194" s="4" t="inlineStr">
        <is>
          <t>99044379</t>
        </is>
      </c>
    </row>
    <row r="195" ht="18" customHeight="1">
      <c r="A195" s="5" t="inlineStr">
        <is>
          <t>Abdallah &lt;abood-nhas@hotmail.com&gt;</t>
        </is>
      </c>
      <c r="B195" s="6" t="inlineStr">
        <is>
          <t>abood-nhas@hotmail.com</t>
        </is>
      </c>
      <c r="C195" s="5" t="inlineStr"/>
      <c r="D195" s="5" t="inlineStr">
        <is>
          <t>&lt;meta http-equiv="Content-Type" content="text/html; charset=utf-8"&gt;&lt;div dir="auto"&gt;&lt;/div&gt;</t>
        </is>
      </c>
      <c r="E195" s="7" t="inlineStr"/>
    </row>
    <row r="196" ht="18" customHeight="1">
      <c r="A196" s="2" t="inlineStr">
        <is>
          <t>Fahad Alsahli &lt;fahadalsahli4@gmail.com&gt;</t>
        </is>
      </c>
      <c r="B196" s="3" t="inlineStr">
        <is>
          <t>fahadalsahli4@gmail.com</t>
        </is>
      </c>
      <c r="C196" s="2" t="inlineStr"/>
      <c r="D196" s="2" t="inlineStr">
        <is>
          <t>Hello! How can we help you?  Report Fahad Alba6a : 60382200   Sent from my iPhone</t>
        </is>
      </c>
      <c r="E196" s="4" t="inlineStr">
        <is>
          <t>60382200</t>
        </is>
      </c>
    </row>
    <row r="197" ht="18" customHeight="1">
      <c r="A197" s="5" t="inlineStr">
        <is>
          <t>Fahad Alsahli &lt;fahadalsahli4@gmail.com&gt;</t>
        </is>
      </c>
      <c r="B197" s="6" t="inlineStr">
        <is>
          <t>fahadalsahli4@gmail.com</t>
        </is>
      </c>
      <c r="C197" s="5" t="inlineStr"/>
      <c r="D197" s="5" t="inlineStr">
        <is>
          <t>Hello! How can we help you?  Report machbos la7am : 60382200   Sent from my iPhone</t>
        </is>
      </c>
      <c r="E197" s="7" t="inlineStr">
        <is>
          <t>60382200</t>
        </is>
      </c>
    </row>
    <row r="198" ht="18" customHeight="1">
      <c r="A198" s="2" t="inlineStr">
        <is>
          <t>Fahad Alsahli &lt;fahadalsahli4@gmail.com&gt;</t>
        </is>
      </c>
      <c r="B198" s="3" t="inlineStr">
        <is>
          <t>fahadalsahli4@gmail.com</t>
        </is>
      </c>
      <c r="C198" s="2" t="inlineStr"/>
      <c r="D198" s="2" t="inlineStr">
        <is>
          <t>Hello! How can we help you?  Report فهودي ياكل دودي : 60382200   Sent from my iPhone</t>
        </is>
      </c>
      <c r="E198" s="4" t="inlineStr">
        <is>
          <t>60382200</t>
        </is>
      </c>
    </row>
    <row r="199" ht="18" customHeight="1">
      <c r="A199" s="5" t="inlineStr">
        <is>
          <t>Salim Alnemr &lt;salimalnemr@icloud.com&gt;</t>
        </is>
      </c>
      <c r="B199" s="6" t="inlineStr">
        <is>
          <t>salimalnemr@icloud.com</t>
        </is>
      </c>
      <c r="C199" s="5">
        <f>?utf-8?B?2KfZhNiz2YTYp9mFINi52YTZitmD2YUg2KfZhNin2LPZhSDYr9mH?=  =?utf-8?B?INmK2K7YtdmG2Yog2YjZhNinINin2LnZhNmFINmF2YYg2KfZhNiw?=  =?utf-8?B?2Yog2YrYs9mF2YrZhtmKINio2YfYsNinINin2YTYp9iz2YUg2Kc=?=  =?utf-8?B?2YTYsdis2KfYoSDZhdiz2K0g2KfZhNin2LPZhSDZhdmGINin2YQ=?=  =?utf-8?B?2KrYt9io2YrZgiDYudmG2K/Zg9mF?=</f>
        <v/>
      </c>
      <c r="D199" s="5" t="inlineStr">
        <is>
          <t>Hello! How can we help you?  Report سليم الوسخ : 51300071    ‫أُرسلت من الـ iPhone‬</t>
        </is>
      </c>
      <c r="E199" s="7" t="inlineStr">
        <is>
          <t>51300071</t>
        </is>
      </c>
    </row>
    <row r="200" ht="18" customHeight="1">
      <c r="A200" s="2" t="inlineStr">
        <is>
          <t>Salim Alnemr &lt;salimalnemr@icloud.com&gt;</t>
        </is>
      </c>
      <c r="B200" s="3" t="inlineStr">
        <is>
          <t>salimalnemr@icloud.com</t>
        </is>
      </c>
      <c r="C200" s="2">
        <f>?utf-8?B?2KrZhSDYqtiz2YXZitiq2Yog2KjZh9iw2Kcg2KfZhNin2LPZhQ==?=</f>
        <v/>
      </c>
      <c r="D200" s="2" t="inlineStr">
        <is>
          <t>Hello! How can we help you?  Report سليم الوسخ : 51300071    ‫أُرسلت من الـ iPhone‬</t>
        </is>
      </c>
      <c r="E200" s="4" t="inlineStr">
        <is>
          <t>51300071</t>
        </is>
      </c>
    </row>
    <row r="201" ht="18" customHeight="1">
      <c r="A201" s="5">
        <f>?utf-8?B?4oCr2KfYrdmF2K8g2KzYudmB2LHigKzigI4=?= &lt;bo6ayob@gmail.com&gt;</f>
        <v/>
      </c>
      <c r="B201" s="6" t="inlineStr">
        <is>
          <t>bo6ayob@gmail.com</t>
        </is>
      </c>
      <c r="C201" s="5">
        <f>?utf-8?B?2KrYqNmE2YrYuiDYudmGINin2LPYp9ih2Ycg2YjZhdiz2K0g2Kc=?=  =?utf-8?B?2YTYp9iz2YU=?=</f>
        <v/>
      </c>
      <c r="D201" s="5" t="inlineStr">
        <is>
          <t>Hello! How can we help you?  Report صاحب الفراري الاحمر الفندق شيشة : 98822231   Sent from my iPhone</t>
        </is>
      </c>
      <c r="E201" s="7" t="inlineStr">
        <is>
          <t>98822231</t>
        </is>
      </c>
    </row>
    <row r="202" ht="18" customHeight="1">
      <c r="A202" s="2" t="inlineStr">
        <is>
          <t>Amina Alansari &lt;a.a.alansari9@gmail.com&gt;</t>
        </is>
      </c>
      <c r="B202" s="3" t="inlineStr">
        <is>
          <t>a.a.alansari9@gmail.com</t>
        </is>
      </c>
      <c r="C202" s="2" t="inlineStr">
        <is>
          <t>Spam</t>
        </is>
      </c>
      <c r="D202" s="2" t="inlineStr">
        <is>
          <t>Hello! How can we help you?  Report 291090500051 : 55292822  As its my civil ID number ! Sent from my iPhone</t>
        </is>
      </c>
      <c r="E202" s="4" t="inlineStr">
        <is>
          <t>55292822</t>
        </is>
      </c>
    </row>
    <row r="203" ht="18" customHeight="1">
      <c r="A203" s="5" t="inlineStr">
        <is>
          <t>K K &lt;k.alm6iry@hotmail.com&gt;</t>
        </is>
      </c>
      <c r="B203" s="6" t="inlineStr">
        <is>
          <t>k.alm6iry@hotmail.com</t>
        </is>
      </c>
      <c r="C203" s="5">
        <f>?utf-8?B?2KfZhNiz2YTYp9mFINi52YTZitmD2YUg?=</f>
        <v/>
      </c>
      <c r="D203" s="5" t="inlineStr">
        <is>
          <t xml:space="preserve">﻿ ﻿ ﻿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203" s="7" t="inlineStr">
        <is>
          <t>65188868</t>
        </is>
      </c>
    </row>
    <row r="204" ht="18" customHeight="1">
      <c r="A204" s="2">
        <f>?utf-8?B?2YHZiti12YQg2KfZhNmE2YfZitmF2YrYrw==?= &lt;ipho972@icloud.com&gt;</f>
        <v/>
      </c>
      <c r="B204" s="3" t="inlineStr">
        <is>
          <t>ipho972@icloud.com</t>
        </is>
      </c>
      <c r="C204" s="2">
        <f>?utf-8?B?2KXYrtmB2KfYoSDZh9iw2Kcg2KfZhNin2LPZhSDZgdmC2Lc=?=</f>
        <v/>
      </c>
      <c r="D204" s="2" t="inlineStr">
        <is>
          <t>Hello! How can we help you?  Report ابو فيصل الرفيعي 2 : 55740352   ‫أُرسلت من الـ iPhone‬</t>
        </is>
      </c>
      <c r="E204" s="4" t="inlineStr">
        <is>
          <t>55740352</t>
        </is>
      </c>
    </row>
    <row r="205" ht="18" customHeight="1">
      <c r="A205" s="5" t="inlineStr">
        <is>
          <t>hussain gholoum &lt;bo.asd@hotmail.com&gt;</t>
        </is>
      </c>
      <c r="B205" s="6" t="inlineStr">
        <is>
          <t>bo.asd@hotmail.com</t>
        </is>
      </c>
      <c r="C205" s="5">
        <f>?utf-8?B?2YrYsdis2Ykg2YXYs9itINin2YTYp9iz2YUg2YTYp9mG2Ycg2YXYs9mK2KE=?=</f>
        <v/>
      </c>
      <c r="D205" s="5" t="inlineStr">
        <is>
          <t xml:space="preserve">Hello! How can we help you?  Report حسين دشتي الحرامي : 96979666  ارجوا مسح الاسم لانه يتعرض لسمعتي ‫أُرسلت من الـ iPhone‬ </t>
        </is>
      </c>
      <c r="E205" s="7" t="inlineStr">
        <is>
          <t>96979666</t>
        </is>
      </c>
    </row>
    <row r="206" ht="18" customHeight="1">
      <c r="A206" s="2" t="inlineStr">
        <is>
          <t>Fa 1213 &lt;farxil550@gmail.com&gt;</t>
        </is>
      </c>
      <c r="B206" s="3" t="inlineStr">
        <is>
          <t>farxil550@gmail.com</t>
        </is>
      </c>
      <c r="C206" s="2" t="inlineStr">
        <is>
          <t>Block this name</t>
        </is>
      </c>
      <c r="D206" s="2" t="inlineStr">
        <is>
          <t>Hello! How can we help you?  Report الصليبية ق2 ش6 م10 : 51300408   ‫أُرسلت من الـ iPhone‬</t>
        </is>
      </c>
      <c r="E206" s="4" t="inlineStr">
        <is>
          <t>51300408</t>
        </is>
      </c>
    </row>
    <row r="207" ht="18" customHeight="1">
      <c r="A207" s="5" t="inlineStr">
        <is>
          <t>e almatrouk &lt;e.almatrouk2@hotmail.com&gt;</t>
        </is>
      </c>
      <c r="B207" s="6" t="inlineStr">
        <is>
          <t>e.almatrouk2@hotmail.com</t>
        </is>
      </c>
      <c r="C207" s="5">
        <f>?utf-8?B?2KfZhNiz2YTYp9mFINi52YTZitmD2YUg2YPZitmBINin2LnZhdmEINit2Lg=?=  =?utf-8?B?2LEg2LnZhNmJINix2YLZhdmK?=</f>
        <v/>
      </c>
      <c r="D207" s="5" t="inlineStr">
        <is>
          <t xml:space="preserve">السلام عليكم كيف اعمل حظر على رقمي </t>
        </is>
      </c>
      <c r="E207" s="7" t="inlineStr"/>
    </row>
    <row r="208" ht="18" customHeight="1">
      <c r="A208" s="2" t="inlineStr">
        <is>
          <t>e almatrouk &lt;e.almatrouk2@hotmail.com&gt;</t>
        </is>
      </c>
      <c r="B208" s="3" t="inlineStr">
        <is>
          <t>e.almatrouk2@hotmail.com</t>
        </is>
      </c>
      <c r="C208" s="2" t="inlineStr"/>
      <c r="D208" s="2" t="inlineStr">
        <is>
          <t xml:space="preserve">Hello! How can we help you?  Sent from my iPhone </t>
        </is>
      </c>
      <c r="E208" s="4" t="inlineStr"/>
    </row>
    <row r="209" ht="18" customHeight="1">
      <c r="A209" s="5">
        <f>?utf-8?B?2KfZhNi52LPYp9mBINin2YTYudiz2KfZgQ==?= &lt;safari91td@icloud.com&gt;</f>
        <v/>
      </c>
      <c r="B209" s="6" t="inlineStr">
        <is>
          <t>safari91td@icloud.com</t>
        </is>
      </c>
      <c r="C209" s="5">
        <f>?utf-8?B?2YrYsdis2Ykg2KXYrtmB2KfYoSDYp9mE2KfYs9mF?=</f>
        <v/>
      </c>
      <c r="D209" s="5" t="inlineStr">
        <is>
          <t>Hello! How can we help you?  Report حشرات- : 66327779   3qar.kw1@gmail.con</t>
        </is>
      </c>
      <c r="E209" s="7" t="inlineStr">
        <is>
          <t>66327779</t>
        </is>
      </c>
    </row>
    <row r="210" ht="18" customHeight="1">
      <c r="A210" s="2" t="inlineStr">
        <is>
          <t>2Checkout Team &lt;marketing@2checkout.com&gt;</t>
        </is>
      </c>
      <c r="B210" s="3" t="inlineStr">
        <is>
          <t>marketing@2checkout.com</t>
        </is>
      </c>
      <c r="C210" s="2" t="inlineStr">
        <is>
          <t>Your Commerce Matters Newsletter is Here - October Edition</t>
        </is>
      </c>
      <c r="D210" s="2">
        <f>===========================================================   Best Practices &amp; Industry Trends for Digital Commerce Professionals!     ============================================================   Commerce Matters Newsletter - For eCommerce and Channel Executives   ============================================================      Hello [NAME],         Spooky season is here, and so is the countdown to some of the biggest eCommerce events of the year—Black Friday and Cyber Monday. Whether you're preparing last-minute promotions or refining your checkout experience, the next few weeks are critical for capturing holiday revenue and setting your online business up for success.      In this mont ...</f>
        <v/>
      </c>
      <c r="E210" s="4" t="inlineStr"/>
    </row>
    <row r="211" ht="18" customHeight="1">
      <c r="A211" s="5" t="inlineStr">
        <is>
          <t>Mbarak Alzabi &lt;mbarak.107@icloud.com&gt;</t>
        </is>
      </c>
      <c r="B211" s="6" t="inlineStr">
        <is>
          <t>mbarak.107@icloud.com</t>
        </is>
      </c>
      <c r="C211" s="5" t="inlineStr"/>
      <c r="D211" s="5" t="inlineStr">
        <is>
          <t>Hello! How can we help you?  Report وانيت زارب : 97759788   ‫أُرسلت من الـ iPhone‬</t>
        </is>
      </c>
      <c r="E211" s="7" t="inlineStr">
        <is>
          <t>97759788</t>
        </is>
      </c>
    </row>
    <row r="212" ht="18" customHeight="1">
      <c r="A212" s="2" t="inlineStr">
        <is>
          <t>Mbarak Alzabi &lt;mbarak.107@icloud.com&gt;</t>
        </is>
      </c>
      <c r="B212" s="3" t="inlineStr">
        <is>
          <t>mbarak.107@icloud.com</t>
        </is>
      </c>
      <c r="C212" s="2" t="inlineStr"/>
      <c r="D212" s="2" t="inlineStr">
        <is>
          <t>Hello! How can we help you?  Report الدبه مبارك : 97759788   ‫أُرسلت من الـ iPhone‬</t>
        </is>
      </c>
      <c r="E212" s="4" t="inlineStr">
        <is>
          <t>97759788</t>
        </is>
      </c>
    </row>
    <row r="213" ht="18" customHeight="1">
      <c r="A213" s="5" t="inlineStr">
        <is>
          <t>khaled Eid &lt;jaberbo801@icloud.com&gt;</t>
        </is>
      </c>
      <c r="B213" s="6" t="inlineStr">
        <is>
          <t>jaberbo801@icloud.com</t>
        </is>
      </c>
      <c r="C213" s="5" t="inlineStr"/>
      <c r="D213" s="5" t="inlineStr">
        <is>
          <t>الرجاء حظر هذا رقم 90917778 وتجنب محكمة قضائية  Report ايمان خالد- : 90917778   ‫أُرسلت من الـ iPhone‬</t>
        </is>
      </c>
      <c r="E213" s="7" t="inlineStr">
        <is>
          <t>90917778</t>
        </is>
      </c>
    </row>
    <row r="214" ht="18" customHeight="1">
      <c r="A214" s="2" t="inlineStr">
        <is>
          <t>Ali Aljaber &lt;al9ane3@icloud.com&gt;</t>
        </is>
      </c>
      <c r="B214" s="3" t="inlineStr">
        <is>
          <t>al9ane3@icloud.com</t>
        </is>
      </c>
      <c r="C214" s="2">
        <f>?utf-8?B?2KfYstmE2Ycg2KfZhNin2LPZhQ==?=</f>
        <v/>
      </c>
      <c r="D214" s="2" t="inlineStr">
        <is>
          <t>Hello! How can we help you?  Report رجل ساره- : 67714444   Sent from my iPhone</t>
        </is>
      </c>
      <c r="E214" s="4" t="inlineStr">
        <is>
          <t>67714444</t>
        </is>
      </c>
    </row>
    <row r="215" ht="18" customHeight="1">
      <c r="A215" s="5" t="inlineStr">
        <is>
          <t>khalid almutairi &lt;5ex@live.com&gt;</t>
        </is>
      </c>
      <c r="B215" s="6" t="inlineStr">
        <is>
          <t>5ex@live.com</t>
        </is>
      </c>
      <c r="C215" s="5">
        <f>?utf-8?B?2KfZhNiz2YTYp9mFINi52YTZitmD2YU=?=</f>
        <v/>
      </c>
      <c r="D215" s="5" t="inlineStr">
        <is>
          <t xml:space="preserve">Hello! How can we help you?  Report حبيب قلبي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215" s="7" t="inlineStr">
        <is>
          <t>65188868</t>
        </is>
      </c>
    </row>
    <row r="216" ht="18" customHeight="1">
      <c r="A216" s="2" t="inlineStr">
        <is>
          <t>khalid almutairi &lt;5ex@live.com&gt;</t>
        </is>
      </c>
      <c r="B216" s="3" t="inlineStr">
        <is>
          <t>5ex@live.com</t>
        </is>
      </c>
      <c r="C216" s="2">
        <f>?utf-8?B?2KfZhNiz2YTYp9mFINi52YTZitmD2YU=?=</f>
        <v/>
      </c>
      <c r="D216" s="2" t="inlineStr">
        <is>
          <t xml:space="preserve">Hello! How can we help you?  Report Janam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216" s="4" t="inlineStr">
        <is>
          <t>65188868</t>
        </is>
      </c>
    </row>
    <row r="217" ht="18" customHeight="1">
      <c r="A217" s="5" t="inlineStr">
        <is>
          <t>m6iyr &lt;alm6iry@hotmail.com&gt;</t>
        </is>
      </c>
      <c r="B217" s="6" t="inlineStr">
        <is>
          <t>alm6iry@hotmail.com</t>
        </is>
      </c>
      <c r="C217" s="5">
        <f>?utf-8?B?2YXZh9mFINis2K/Yp9mLINiMICDYudiv2YUg2YbYtNixINmF2LnZhNmI2YU=?=  =?utf-8?B?2KfYqtmKINin2YTYtNiu2LXZitmHIA==?=</f>
        <v/>
      </c>
      <c r="D217" s="5" t="inlineStr">
        <is>
          <t xml:space="preserve">﻿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217" s="7" t="inlineStr">
        <is>
          <t>65188868</t>
        </is>
      </c>
    </row>
    <row r="218" ht="18" customHeight="1">
      <c r="A218" s="2" t="inlineStr">
        <is>
          <t>m6iyr &lt;alm6iry@hotmail.com&gt;</t>
        </is>
      </c>
      <c r="B218" s="3" t="inlineStr">
        <is>
          <t>alm6iry@hotmail.com</t>
        </is>
      </c>
      <c r="C218" s="2">
        <f>?utf-8?B?2YXZh9mFINis2K/Yp9mLINiMICDYudiv2YUg2YbYtNixINmF2LnZhNmI2YU=?=  =?utf-8?B?2KfYqtmKINin2YTYtNiu2LXZitmHIA==?=</f>
        <v/>
      </c>
      <c r="D218" s="2" t="inlineStr">
        <is>
          <t xml:space="preserve">﻿ ﻿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218" s="4" t="inlineStr">
        <is>
          <t>65188868</t>
        </is>
      </c>
    </row>
    <row r="219" ht="18" customHeight="1">
      <c r="A219" s="5" t="inlineStr">
        <is>
          <t>sixtytow 62 &lt;manarhabe@gmail.com&gt;</t>
        </is>
      </c>
      <c r="B219" s="6" t="inlineStr">
        <is>
          <t>manarhabe@gmail.com</t>
        </is>
      </c>
      <c r="C219" s="5">
        <f>?utf-8?B?2KfYs9mFINmF2LPZitih?=</f>
        <v/>
      </c>
      <c r="D219" s="5" t="inlineStr">
        <is>
          <t>Hello! How can we help you?  Report Sweetheart : 65898785   Sent from my iPhone</t>
        </is>
      </c>
      <c r="E219" s="7" t="inlineStr">
        <is>
          <t>65898785</t>
        </is>
      </c>
    </row>
    <row r="220" ht="18" customHeight="1">
      <c r="A220" s="2" t="inlineStr">
        <is>
          <t>sixtytow 62 &lt;manarhabe@gmail.com&gt;</t>
        </is>
      </c>
      <c r="B220" s="3" t="inlineStr">
        <is>
          <t>manarhabe@gmail.com</t>
        </is>
      </c>
      <c r="C220" s="2">
        <f>?utf-8?B?2KfYs9mFINmF2LPZitih?=</f>
        <v/>
      </c>
      <c r="D220" s="2" t="inlineStr">
        <is>
          <t>Hello! How can we help you?  Report kız Güzelleri : 65898785   Sent from my iPhone</t>
        </is>
      </c>
      <c r="E220" s="4" t="inlineStr">
        <is>
          <t>65898785</t>
        </is>
      </c>
    </row>
    <row r="221" ht="18" customHeight="1">
      <c r="A221" s="5" t="inlineStr">
        <is>
          <t>hussain gholoum &lt;bo.asd@hotmail.com&gt;</t>
        </is>
      </c>
      <c r="B221" s="6" t="inlineStr">
        <is>
          <t>bo.asd@hotmail.com</t>
        </is>
      </c>
      <c r="C221" s="5">
        <f>?utf-8?B?2YrYsdis2Ykg2YXYs9itINin2YTYp9iz2YUg2KfZhNmF2LPZitih?=</f>
        <v/>
      </c>
      <c r="D221" s="5" t="inlineStr">
        <is>
          <t xml:space="preserve">Hello! How can we help you?  Report حسين دشتي الحرامي : 96979666  السلام عليكم ارجو مسح هذا الاسم لانه يسيء لي جدا ‫أُرسلت من الـ iPhone‬ </t>
        </is>
      </c>
      <c r="E221" s="7" t="inlineStr">
        <is>
          <t>96979666</t>
        </is>
      </c>
    </row>
    <row r="222" ht="18" customHeight="1">
      <c r="A222" s="2" t="inlineStr">
        <is>
          <t>Hossam Alaa &lt;hossamalaa2014@icloud.com&gt;</t>
        </is>
      </c>
      <c r="B222" s="3" t="inlineStr">
        <is>
          <t>hossamalaa2014@icloud.com</t>
        </is>
      </c>
      <c r="C222" s="2" t="inlineStr"/>
      <c r="D222" s="2" t="inlineStr">
        <is>
          <t>Hello! How can we help you?  Report حسام S4 Look : 60963963    Sent from my iPhone</t>
        </is>
      </c>
      <c r="E222" s="4" t="inlineStr">
        <is>
          <t>60963963</t>
        </is>
      </c>
    </row>
    <row r="223" ht="18" customHeight="1">
      <c r="A223" s="5" t="inlineStr">
        <is>
          <t>Hossam Alaa &lt;hossamalaa2014@icloud.com&gt;</t>
        </is>
      </c>
      <c r="B223" s="6" t="inlineStr">
        <is>
          <t>hossamalaa2014@icloud.com</t>
        </is>
      </c>
      <c r="C223" s="5" t="inlineStr"/>
      <c r="D223" s="5" t="inlineStr">
        <is>
          <t>Hello! How can we help you?  Report ناسوور : 60963963    Sent from my iPhone</t>
        </is>
      </c>
      <c r="E223" s="7" t="inlineStr">
        <is>
          <t>60963963</t>
        </is>
      </c>
    </row>
    <row r="224" ht="18" customHeight="1">
      <c r="A224" s="2" t="inlineStr">
        <is>
          <t>abdulaziz1098@icloud.com</t>
        </is>
      </c>
      <c r="B224" s="3" t="inlineStr">
        <is>
          <t>abdulaziz1098@icloud.com</t>
        </is>
      </c>
      <c r="C224" s="2">
        <f>?utf-8?B?2YXYs9itINin2YTYp9iz2YUg?=</f>
        <v/>
      </c>
      <c r="D224" s="2" t="inlineStr">
        <is>
          <t>Hello! How can we help you?  Report أبوفيصل-صاحب معتج : 90099345   Sent from my iPhone</t>
        </is>
      </c>
      <c r="E224" s="4" t="inlineStr">
        <is>
          <t>90099345</t>
        </is>
      </c>
    </row>
    <row r="225" ht="18" customHeight="1">
      <c r="A225" s="5" t="inlineStr">
        <is>
          <t>Adel AlHajri &lt;a.alhajri@oula1.com&gt;</t>
        </is>
      </c>
      <c r="B225" s="6" t="inlineStr">
        <is>
          <t>a.alhajri@oula1.com</t>
        </is>
      </c>
      <c r="C225" s="5">
        <f>?utf-8?B?2YXYs9itIA==?=</f>
        <v/>
      </c>
      <c r="D225" s="5" t="inlineStr">
        <is>
          <t xml:space="preserve">Hello! How can we help you?  Report عادل العنزي- : 50877717  ‫أُرسلت من الـ iPhone‬ </t>
        </is>
      </c>
      <c r="E225" s="7" t="inlineStr">
        <is>
          <t>50877717</t>
        </is>
      </c>
    </row>
    <row r="226" ht="18" customHeight="1">
      <c r="A226" s="2" t="inlineStr">
        <is>
          <t>farhan alenezi &lt;far777an@hotmail.com&gt;</t>
        </is>
      </c>
      <c r="B226" s="3" t="inlineStr">
        <is>
          <t>far777an@hotmail.com</t>
        </is>
      </c>
      <c r="C226" s="2">
        <f>?utf-8?B?2YXZhdmD2YYg2YXYs9in2LnYr9mHIA==?=</f>
        <v/>
      </c>
      <c r="D226" s="2" t="inlineStr">
        <is>
          <t xml:space="preserve">شلون امسح رقمي من منو داق ‫أُرسلت من الـ iPhone‬ </t>
        </is>
      </c>
      <c r="E226" s="4" t="inlineStr"/>
    </row>
    <row r="227" ht="18" customHeight="1">
      <c r="A227" s="5" t="inlineStr">
        <is>
          <t>Heba Alhashemi &lt;h.89.hashemi89@gmail.com&gt;</t>
        </is>
      </c>
      <c r="B227" s="6" t="inlineStr">
        <is>
          <t>h.89.hashemi89@gmail.com</t>
        </is>
      </c>
      <c r="C227" s="5">
        <f>?UTF-8?B?2LfZhNioINit2LDZgSDYsdmC2YU=?=</f>
        <v/>
      </c>
      <c r="D227" s="5" t="inlineStr">
        <is>
          <t xml:space="preserve">66440833 </t>
        </is>
      </c>
      <c r="E227" s="7" t="inlineStr">
        <is>
          <t>66440833</t>
        </is>
      </c>
    </row>
    <row r="228" ht="18" customHeight="1">
      <c r="A228" s="2" t="inlineStr">
        <is>
          <t>Heba Alhashemi &lt;h.89.hashemi89@gmail.com&gt;</t>
        </is>
      </c>
      <c r="B228" s="3" t="inlineStr">
        <is>
          <t>h.89.hashemi89@gmail.com</t>
        </is>
      </c>
      <c r="C228" s="2">
        <f>?UTF-8?B?2LfZhNioINit2LDZgSDYsdmC2YU=?=</f>
        <v/>
      </c>
      <c r="D228" s="2" t="inlineStr">
        <is>
          <t xml:space="preserve">97970373 </t>
        </is>
      </c>
      <c r="E228" s="4" t="inlineStr">
        <is>
          <t>97970373</t>
        </is>
      </c>
    </row>
    <row r="229" ht="18" customHeight="1">
      <c r="A229" s="5" t="inlineStr">
        <is>
          <t>Nina Ali &lt;ninajh84@gmail.com&gt;</t>
        </is>
      </c>
      <c r="B229" s="6" t="inlineStr">
        <is>
          <t>ninajh84@gmail.com</t>
        </is>
      </c>
      <c r="C229" s="5" t="inlineStr">
        <is>
          <t>Wrong name</t>
        </is>
      </c>
      <c r="D229" s="5" t="inlineStr">
        <is>
          <t xml:space="preserve">Hello! How can we help you?  This is my number registered in a wrong name please delete this name  Report محمد عبدالغفور العوضي- : 69950501   Sent from my iPhone </t>
        </is>
      </c>
      <c r="E229" s="7" t="inlineStr">
        <is>
          <t>69950501</t>
        </is>
      </c>
    </row>
    <row r="230" ht="18" customHeight="1">
      <c r="A230" s="2" t="inlineStr">
        <is>
          <t>deadchucky &lt;papermario0091@gmail.com&gt;</t>
        </is>
      </c>
      <c r="B230" s="3" t="inlineStr">
        <is>
          <t>papermario0091@gmail.com</t>
        </is>
      </c>
      <c r="C230" s="2">
        <f>?UTF-8?B?2KfZhNio2YTZiNmD?=</f>
        <v/>
      </c>
      <c r="D230" s="2" t="inlineStr">
        <is>
          <t xml:space="preserve">شلون البلوك ادفع لكم ومدة سنه وباقي اشهر وينتهي بعرف ليش ينتهي الحين </t>
        </is>
      </c>
      <c r="E230" s="4" t="inlineStr"/>
    </row>
    <row r="231" ht="18" customHeight="1">
      <c r="A231" s="5">
        <f>?utf-8?B?2YHZh9mK2K8g2KfZhNit2KzYsdmB?= &lt;fheedalhajraf1995@icloud.com&gt;</f>
        <v/>
      </c>
      <c r="B231" s="6" t="inlineStr">
        <is>
          <t>fheedalhajraf1995@icloud.com</t>
        </is>
      </c>
      <c r="C231" s="5" t="inlineStr">
        <is>
          <t xml:space="preserve">Re: </t>
        </is>
      </c>
      <c r="D231" s="5" t="inlineStr">
        <is>
          <t xml:space="preserve"> ‫أُرسلت من الـ iPhone‬  &gt; ‫في 25‏/10‏/2025 الساعة 9:09 ص، كتب/كتبت ‏فهيد الحجرف ‏&lt;fheedalhajraf1995@icloud.com&gt;:‬ &gt;  &gt; ﻿ &gt; Hello! How can we help you? &gt;  &gt; Report سارة منقبه العجمي : 50908988 &gt;  &gt;  &gt; ‫أُرسلت من الـ iPhone‬ </t>
        </is>
      </c>
      <c r="E231" s="7" t="inlineStr">
        <is>
          <t>50908988</t>
        </is>
      </c>
    </row>
    <row r="232" ht="18" customHeight="1">
      <c r="A232" s="2" t="inlineStr">
        <is>
          <t>Mubarak M H S A ALDammak &lt;aldammak@hotmail.com&gt;</t>
        </is>
      </c>
      <c r="B232" s="3" t="inlineStr">
        <is>
          <t>aldammak@hotmail.com</t>
        </is>
      </c>
      <c r="C232" s="2" t="inlineStr"/>
      <c r="D232" s="2" t="inlineStr">
        <is>
          <t xml:space="preserve">Hello! How can we help you?  Report ahmad 29042- : 97951999  Mubarak </t>
        </is>
      </c>
      <c r="E232" s="4" t="inlineStr">
        <is>
          <t>97951999</t>
        </is>
      </c>
    </row>
    <row r="233" ht="18" customHeight="1">
      <c r="A233" s="5" t="inlineStr">
        <is>
          <t>Mubarak M H S A ALDammak &lt;aldammak@hotmail.com&gt;</t>
        </is>
      </c>
      <c r="B233" s="6" t="inlineStr">
        <is>
          <t>aldammak@hotmail.com</t>
        </is>
      </c>
      <c r="C233" s="5" t="inlineStr"/>
      <c r="D233" s="5" t="inlineStr">
        <is>
          <t xml:space="preserve">Hello! How can we help you?  Report يبي شاليه بالصبية- : 97951999  Mubarak </t>
        </is>
      </c>
      <c r="E233" s="7" t="inlineStr">
        <is>
          <t>97951999</t>
        </is>
      </c>
    </row>
    <row r="234" ht="18" customHeight="1">
      <c r="A234" s="2" t="inlineStr">
        <is>
          <t>Mubarak M H S A ALDammak &lt;aldammak@hotmail.com&gt;</t>
        </is>
      </c>
      <c r="B234" s="3" t="inlineStr">
        <is>
          <t>aldammak@hotmail.com</t>
        </is>
      </c>
      <c r="C234" s="2" t="inlineStr"/>
      <c r="D234" s="2" t="inlineStr">
        <is>
          <t xml:space="preserve">Hello! How can we help you?  Report ابواحمد تاسيس 300 مكتب 250 رسوم 180 تجاره عامه- : 97951999  Mubarak </t>
        </is>
      </c>
      <c r="E234" s="4" t="inlineStr">
        <is>
          <t>97951999</t>
        </is>
      </c>
    </row>
    <row r="235" ht="18" customHeight="1">
      <c r="A235" s="5" t="inlineStr">
        <is>
          <t>Hessa ALMutairi &lt;eng.hessaalmutairi@gmail.com&gt;</t>
        </is>
      </c>
      <c r="B235" s="6" t="inlineStr">
        <is>
          <t>eng.hessaalmutairi@gmail.com</t>
        </is>
      </c>
      <c r="C235" s="5" t="inlineStr"/>
      <c r="D235" s="5" t="inlineStr">
        <is>
          <t>Hello! How can we help you?  Report الخبيره تبع القلاف : 94942299   Sent from my iPhone</t>
        </is>
      </c>
      <c r="E235" s="7" t="inlineStr">
        <is>
          <t>94942299</t>
        </is>
      </c>
    </row>
    <row r="236" ht="18" customHeight="1">
      <c r="A236" s="2" t="inlineStr">
        <is>
          <t>Ghaida Waleed &lt;ghaidawaleed493@gmail.com&gt;</t>
        </is>
      </c>
      <c r="B236" s="3" t="inlineStr">
        <is>
          <t>ghaidawaleed493@gmail.com</t>
        </is>
      </c>
      <c r="C236" s="2">
        <f>?utf-8?B?2KfZhNin2LPZhSDZhdmIINit2YTZiCDYtNmK2YTZiNmH?=</f>
        <v/>
      </c>
      <c r="D236" s="2" t="inlineStr">
        <is>
          <t xml:space="preserve"> Hello! How can we help you? Delete this name  Report كويت منو غيداء سووس : 50210996   Sent from my iPhone</t>
        </is>
      </c>
      <c r="E236" s="4" t="inlineStr">
        <is>
          <t>50210996</t>
        </is>
      </c>
    </row>
    <row r="237" ht="18" customHeight="1">
      <c r="A237" s="5" t="inlineStr">
        <is>
          <t>khaled Eid &lt;jaberbo801@icloud.com&gt;</t>
        </is>
      </c>
      <c r="B237" s="6" t="inlineStr">
        <is>
          <t>jaberbo801@icloud.com</t>
        </is>
      </c>
      <c r="C237" s="5">
        <f>?utf-8?B?2KfZhNix2KzYp9ihINiq2KzZhtioINmF2K3Zg9mF2Kkg2KfZhNmC?=  =?utf-8?B?2LbYp9im2YrYqQ==?=</f>
        <v/>
      </c>
      <c r="D237" s="5" t="inlineStr">
        <is>
          <t>الرجاء حظر هذا رقم 90917778 وذلك لي أسباب عائلية وتجنب محكمة القضائية  Report ام جابر مرت خالد جابر عيد : 90917778   ‫أُرسلت من الـ iPhone‬</t>
        </is>
      </c>
      <c r="E237" s="7" t="inlineStr">
        <is>
          <t>90917778</t>
        </is>
      </c>
    </row>
    <row r="238" ht="18" customHeight="1">
      <c r="A238" s="2" t="inlineStr">
        <is>
          <t>Maan AlBanwan &lt;oorroonnaa@gmail.com&gt;</t>
        </is>
      </c>
      <c r="B238" s="3" t="inlineStr">
        <is>
          <t>oorroonnaa@gmail.com</t>
        </is>
      </c>
      <c r="C238" s="2">
        <f>?UTF-8?B?2LfZhNioINit2LDZgSDYsdmC2YU=?=</f>
        <v/>
      </c>
      <c r="D238" s="2" t="inlineStr">
        <is>
          <t xml:space="preserve"> مرحباكيف اقدر امسح اسم غير لائق مثبت على رقمي من التطبيق؟مع الشكر.</t>
        </is>
      </c>
      <c r="E238" s="4" t="inlineStr"/>
    </row>
    <row r="239" ht="18" customHeight="1">
      <c r="A239" s="5" t="inlineStr">
        <is>
          <t>hussain gholoum &lt;bo.asd@hotmail.com&gt;</t>
        </is>
      </c>
      <c r="B239" s="6" t="inlineStr">
        <is>
          <t>bo.asd@hotmail.com</t>
        </is>
      </c>
      <c r="C239" s="5">
        <f>?utf-8?B?2KfYs9mFINmF2LPZitih?=</f>
        <v/>
      </c>
      <c r="D239" s="5" t="inlineStr">
        <is>
          <t xml:space="preserve">Hello! How can we help you?  Report حسين دشتي الحرامي : 96979666  الاسم  حسين حرامي مسيء يرجى مسحه ‫أُرسلت من الـ iPhone‬ </t>
        </is>
      </c>
      <c r="E239" s="7" t="inlineStr">
        <is>
          <t>96979666</t>
        </is>
      </c>
    </row>
    <row r="240" ht="18" customHeight="1">
      <c r="A240" s="2" t="inlineStr">
        <is>
          <t>ABdulwahab Alhabashi &lt;alhabashiabdulwahab@gmail.com&gt;</t>
        </is>
      </c>
      <c r="B240" s="3" t="inlineStr">
        <is>
          <t>alhabashiabdulwahab@gmail.com</t>
        </is>
      </c>
      <c r="C240" s="2">
        <f>?utf-8?B?2KfZhNix2KzYp9ihINit2LDZgSDZh9iw2Kcg2KfZhNin2LPZhSA=?=</f>
        <v/>
      </c>
      <c r="D240" s="2" t="inlineStr">
        <is>
          <t>Hello! How can we help you?  Report حسبي الله ونعم الوكيل : 51544492   ‫أُرسلت من الـ iPhone‬</t>
        </is>
      </c>
      <c r="E240" s="4" t="inlineStr">
        <is>
          <t>51544492</t>
        </is>
      </c>
    </row>
    <row r="241" ht="18" customHeight="1">
      <c r="A241" s="5" t="inlineStr">
        <is>
          <t>ABdulwahab Alhabashi &lt;alhabashiabdulwahab@gmail.com&gt;</t>
        </is>
      </c>
      <c r="B241" s="6" t="inlineStr">
        <is>
          <t>alhabashiabdulwahab@gmail.com</t>
        </is>
      </c>
      <c r="C241" s="5">
        <f>?utf-8?B?2KfZhNix2KzYp9ihINmF2LPYrSDZh9iw2Kcg2KfZhNin2LPZhSA=?=</f>
        <v/>
      </c>
      <c r="D241" s="5" t="inlineStr">
        <is>
          <t>Hello! How can we help you?  Report سعادة القلب وياه : 51544492   ‫أُرسلت من الـ iPhone‬</t>
        </is>
      </c>
      <c r="E241" s="7" t="inlineStr">
        <is>
          <t>51544492</t>
        </is>
      </c>
    </row>
    <row r="242" ht="18" customHeight="1">
      <c r="A242" s="2" t="inlineStr">
        <is>
          <t>Hamny Ali &lt;halazmi2005@gmail.com&gt;</t>
        </is>
      </c>
      <c r="B242" s="3" t="inlineStr">
        <is>
          <t>halazmi2005@gmail.com</t>
        </is>
      </c>
      <c r="C242" s="2">
        <f>?utf-8?B?2YXYp9mH2Ygg2KfZhNin2LPZhSDZh9iw2KchIQ==?=</f>
        <v/>
      </c>
      <c r="D242" s="2" t="inlineStr">
        <is>
          <t>Hello! How can we help you?  Report العميل عبدالرحمن علي العازمي اعانه : 94915794   ‫أُرسلت من الـ عبدالرحمن</t>
        </is>
      </c>
      <c r="E242" s="4" t="inlineStr">
        <is>
          <t>94915794</t>
        </is>
      </c>
    </row>
    <row r="243" ht="18" customHeight="1">
      <c r="A243" s="5" t="inlineStr">
        <is>
          <t>Abu Mhmd &lt;zadabomhmd@gmail.com&gt;</t>
        </is>
      </c>
      <c r="B243" s="6" t="inlineStr">
        <is>
          <t>zadabomhmd@gmail.com</t>
        </is>
      </c>
      <c r="C243" s="5">
        <f>?utf-8?B?2KPZhtinINmF2KzYr9ivINiu2K/ZhdipINin2YTYqNmE2YjZgyA=?=  =?utf-8?B?2KjYtNmH2LEgNCDZiNij2YTYrdmK2YYg2YXYsdiz2YTZitmGINmE?=  =?utf-8?B?2Yog2KjYo9mG2KrZh9in2KEg2KfZhNij2LTYqtix2KfZgyDZhdi5?=  =?utf-8?B?INin2YTYudmE2YUg2K7Yr9mF2Kkg2KfZhNio2YTZiNmDINiz2YY=?=  =?utf-8?B?2Kk=?=</f>
        <v/>
      </c>
      <c r="D243" s="5" t="inlineStr">
        <is>
          <t xml:space="preserve">  ‫أُرسلت من الـ iPhone‬</t>
        </is>
      </c>
      <c r="E243" s="7" t="inlineStr"/>
    </row>
    <row r="244" ht="18" customHeight="1">
      <c r="A244" s="2" t="inlineStr">
        <is>
          <t>hussain gholoum &lt;bo.asd@hotmail.com&gt;</t>
        </is>
      </c>
      <c r="B244" s="3" t="inlineStr">
        <is>
          <t>bo.asd@hotmail.com</t>
        </is>
      </c>
      <c r="C244" s="2">
        <f>?utf-8?B?2KfYs9mFINmF2LPZitih?=</f>
        <v/>
      </c>
      <c r="D244" s="2" t="inlineStr">
        <is>
          <t xml:space="preserve">Hello! How can we help you?  Report حسين دشتي الحرامي : 96979666  اسم مسيء لي يرجى مسحه ‫أُرسلت من الـ iPhone‬ </t>
        </is>
      </c>
      <c r="E244" s="4" t="inlineStr">
        <is>
          <t>96979666</t>
        </is>
      </c>
    </row>
    <row r="245" ht="18" customHeight="1">
      <c r="A245" s="5" t="inlineStr">
        <is>
          <t>Khloud Alajme &lt;khloudalshealan@gmail.com&gt;</t>
        </is>
      </c>
      <c r="B245" s="6" t="inlineStr">
        <is>
          <t>khloudalshealan@gmail.com</t>
        </is>
      </c>
      <c r="C245" s="5" t="inlineStr"/>
      <c r="D245" s="5" t="inlineStr">
        <is>
          <t>Hello! How can we help you?  Report خالد اخي : 99732342   Sent from my iPhone</t>
        </is>
      </c>
      <c r="E245" s="7" t="inlineStr">
        <is>
          <t>99732342</t>
        </is>
      </c>
    </row>
    <row r="246" ht="18" customHeight="1">
      <c r="A246" s="2" t="inlineStr">
        <is>
          <t>Khloud Alajme &lt;khloudalshealan@gmail.com&gt;</t>
        </is>
      </c>
      <c r="B246" s="3" t="inlineStr">
        <is>
          <t>khloudalshealan@gmail.com</t>
        </is>
      </c>
      <c r="C246" s="2" t="inlineStr">
        <is>
          <t>Name bully at me</t>
        </is>
      </c>
      <c r="D246" s="2" t="inlineStr">
        <is>
          <t>Hello! How can we help you?  Report خليده مليون : 99732342  Plz . The name bully at me Sent from my iPhone</t>
        </is>
      </c>
      <c r="E246" s="4" t="inlineStr">
        <is>
          <t>99732342</t>
        </is>
      </c>
    </row>
    <row r="247" ht="18" customHeight="1">
      <c r="A247" s="5" t="inlineStr">
        <is>
          <t>Khloud Alajme &lt;khloudalshealan@gmail.com&gt;</t>
        </is>
      </c>
      <c r="B247" s="6" t="inlineStr">
        <is>
          <t>khloudalshealan@gmail.com</t>
        </is>
      </c>
      <c r="C247" s="5" t="inlineStr">
        <is>
          <t>Name bully at me</t>
        </is>
      </c>
      <c r="D247" s="5" t="inlineStr">
        <is>
          <t>Hello! How can we help you?  Report خليده : 99732342  It’s bully at me Sent from my iPhone</t>
        </is>
      </c>
      <c r="E247" s="7" t="inlineStr">
        <is>
          <t>99732342</t>
        </is>
      </c>
    </row>
    <row r="248" ht="18" customHeight="1">
      <c r="A248" s="2" t="inlineStr">
        <is>
          <t>Khloud Alajme &lt;khloudalshealan@gmail.com&gt;</t>
        </is>
      </c>
      <c r="B248" s="3" t="inlineStr">
        <is>
          <t>khloudalshealan@gmail.com</t>
        </is>
      </c>
      <c r="C248" s="2" t="inlineStr">
        <is>
          <t>Name bully at me</t>
        </is>
      </c>
      <c r="D248" s="2" t="inlineStr">
        <is>
          <t>Hello! How can we help you?  Report خلود طائره : 99732342  Please . Report they bully at me  Sent from my iPhone</t>
        </is>
      </c>
      <c r="E248" s="4" t="inlineStr">
        <is>
          <t>99732342</t>
        </is>
      </c>
    </row>
    <row r="249" ht="18" customHeight="1">
      <c r="A249" s="5" t="inlineStr">
        <is>
          <t>Abdullah F &lt;a-f-f_1990@hotmail.com&gt;</t>
        </is>
      </c>
      <c r="B249" s="6" t="inlineStr">
        <is>
          <t>a-f-f_1990@hotmail.com</t>
        </is>
      </c>
      <c r="C249" s="5" t="inlineStr"/>
      <c r="D249" s="5" t="inlineStr">
        <is>
          <t xml:space="preserve">Hello! How can we help you?  Report اربيسك : 69099924 </t>
        </is>
      </c>
      <c r="E249" s="7" t="inlineStr">
        <is>
          <t>69099924</t>
        </is>
      </c>
    </row>
    <row r="250" ht="18" customHeight="1">
      <c r="A250" s="2" t="inlineStr">
        <is>
          <t>Abdullah F &lt;a-f-f_1990@hotmail.com&gt;</t>
        </is>
      </c>
      <c r="B250" s="3" t="inlineStr">
        <is>
          <t>a-f-f_1990@hotmail.com</t>
        </is>
      </c>
      <c r="C250" s="2" t="inlineStr"/>
      <c r="D250" s="2" t="inlineStr">
        <is>
          <t xml:space="preserve">Hello! How can we help you?  Report Abdulrazaq Q8 : 69099924 </t>
        </is>
      </c>
      <c r="E250" s="4" t="inlineStr">
        <is>
          <t>69099924</t>
        </is>
      </c>
    </row>
    <row r="251" ht="18" customHeight="1">
      <c r="A251" s="5" t="inlineStr">
        <is>
          <t>Abdullah F &lt;a-f-f_1990@hotmail.com&gt;</t>
        </is>
      </c>
      <c r="B251" s="6" t="inlineStr">
        <is>
          <t>a-f-f_1990@hotmail.com</t>
        </is>
      </c>
      <c r="C251" s="5" t="inlineStr"/>
      <c r="D251" s="5" t="inlineStr">
        <is>
          <t xml:space="preserve">Hello! How can we help you?  Report عبدالله زبونه غانت : 69099924 </t>
        </is>
      </c>
      <c r="E251" s="7" t="inlineStr">
        <is>
          <t>69099924</t>
        </is>
      </c>
    </row>
    <row r="252" ht="18" customHeight="1">
      <c r="A252" s="2" t="inlineStr">
        <is>
          <t>Abdullah F &lt;a-f-f_1990@hotmail.com&gt;</t>
        </is>
      </c>
      <c r="B252" s="3" t="inlineStr">
        <is>
          <t>a-f-f_1990@hotmail.com</t>
        </is>
      </c>
      <c r="C252" s="2" t="inlineStr"/>
      <c r="D252" s="2" t="inlineStr">
        <is>
          <t xml:space="preserve">Hello! How can we help you?  Report عبدالله فهد الزعبي ( تعقيب) : 69099924 </t>
        </is>
      </c>
      <c r="E252" s="4" t="inlineStr">
        <is>
          <t>69099924</t>
        </is>
      </c>
    </row>
    <row r="253" ht="18" customHeight="1">
      <c r="A253" s="5" t="inlineStr">
        <is>
          <t>Abdullah F &lt;a-f-f_1990@hotmail.com&gt;</t>
        </is>
      </c>
      <c r="B253" s="6" t="inlineStr">
        <is>
          <t>a-f-f_1990@hotmail.com</t>
        </is>
      </c>
      <c r="C253" s="5" t="inlineStr"/>
      <c r="D253" s="5" t="inlineStr">
        <is>
          <t xml:space="preserve">Hello! How can we help you?  Report شرا اللكزس ES350 2010 : 69099924 </t>
        </is>
      </c>
      <c r="E253" s="7" t="inlineStr">
        <is>
          <t>69099924</t>
        </is>
      </c>
    </row>
    <row r="254" ht="18" customHeight="1">
      <c r="A254" s="2" t="inlineStr">
        <is>
          <t>Abdullah F &lt;a-f-f_1990@hotmail.com&gt;</t>
        </is>
      </c>
      <c r="B254" s="3" t="inlineStr">
        <is>
          <t>a-f-f_1990@hotmail.com</t>
        </is>
      </c>
      <c r="C254" s="2" t="inlineStr"/>
      <c r="D254" s="2" t="inlineStr">
        <is>
          <t xml:space="preserve">Hello! How can we help you?  Report عبدالله الزعبي طرف خالد مهدى : 69099924 </t>
        </is>
      </c>
      <c r="E254" s="4" t="inlineStr">
        <is>
          <t>69099924</t>
        </is>
      </c>
    </row>
    <row r="255" ht="18" customHeight="1">
      <c r="A255" s="5" t="inlineStr">
        <is>
          <t>Abdullah F &lt;a-f-f_1990@hotmail.com&gt;</t>
        </is>
      </c>
      <c r="B255" s="6" t="inlineStr">
        <is>
          <t>a-f-f_1990@hotmail.com</t>
        </is>
      </c>
      <c r="C255" s="5" t="inlineStr"/>
      <c r="D255" s="5" t="inlineStr">
        <is>
          <t xml:space="preserve">Hello! How can we help you?  Report عبدالله الزعبي مشتري وكالات : 69099924 </t>
        </is>
      </c>
      <c r="E255" s="7" t="inlineStr">
        <is>
          <t>69099924</t>
        </is>
      </c>
    </row>
    <row r="256" ht="18" customHeight="1">
      <c r="A256" s="2" t="inlineStr">
        <is>
          <t>Abdullah F &lt;a-f-f_1990@hotmail.com&gt;</t>
        </is>
      </c>
      <c r="B256" s="3" t="inlineStr">
        <is>
          <t>a-f-f_1990@hotmail.com</t>
        </is>
      </c>
      <c r="C256" s="2" t="inlineStr"/>
      <c r="D256" s="2" t="inlineStr">
        <is>
          <t xml:space="preserve">Hello! How can we help you?  Report اصللي ك- : 69099924 </t>
        </is>
      </c>
      <c r="E256" s="4" t="inlineStr">
        <is>
          <t>69099924</t>
        </is>
      </c>
    </row>
    <row r="257" ht="18" customHeight="1">
      <c r="A257" s="5" t="inlineStr">
        <is>
          <t>Abdullah F &lt;a-f-f_1990@hotmail.com&gt;</t>
        </is>
      </c>
      <c r="B257" s="6" t="inlineStr">
        <is>
          <t>a-f-f_1990@hotmail.com</t>
        </is>
      </c>
      <c r="C257" s="5" t="inlineStr"/>
      <c r="D257" s="5" t="inlineStr">
        <is>
          <t xml:space="preserve">Hello! How can we help you?  Report عبدالله ابوصلة- : 69099924 </t>
        </is>
      </c>
      <c r="E257" s="7" t="inlineStr">
        <is>
          <t>69099924</t>
        </is>
      </c>
    </row>
    <row r="258" ht="18" customHeight="1">
      <c r="A258" s="2" t="inlineStr">
        <is>
          <t>Abdullah F &lt;a-f-f_1990@hotmail.com&gt;</t>
        </is>
      </c>
      <c r="B258" s="3" t="inlineStr">
        <is>
          <t>a-f-f_1990@hotmail.com</t>
        </is>
      </c>
      <c r="C258" s="2" t="inlineStr"/>
      <c r="D258" s="2" t="inlineStr">
        <is>
          <t xml:space="preserve">Hello! How can we help you?  Report الشراااي- : 69099924 </t>
        </is>
      </c>
      <c r="E258" s="4" t="inlineStr">
        <is>
          <t>69099924</t>
        </is>
      </c>
    </row>
    <row r="259" ht="18" customHeight="1">
      <c r="A259" s="5" t="inlineStr">
        <is>
          <t>Abdullah F &lt;a-f-f_1990@hotmail.com&gt;</t>
        </is>
      </c>
      <c r="B259" s="6" t="inlineStr">
        <is>
          <t>a-f-f_1990@hotmail.com</t>
        </is>
      </c>
      <c r="C259" s="5" t="inlineStr"/>
      <c r="D259" s="5" t="inlineStr">
        <is>
          <t xml:space="preserve">Hello! How can we help you?  Report اشكناني- : 69099924 </t>
        </is>
      </c>
      <c r="E259" s="7" t="inlineStr">
        <is>
          <t>69099924</t>
        </is>
      </c>
    </row>
    <row r="260" ht="18" customHeight="1">
      <c r="A260" s="2" t="inlineStr">
        <is>
          <t>Abdullah F &lt;a-f-f_1990@hotmail.com&gt;</t>
        </is>
      </c>
      <c r="B260" s="3" t="inlineStr">
        <is>
          <t>a-f-f_1990@hotmail.com</t>
        </is>
      </c>
      <c r="C260" s="2" t="inlineStr"/>
      <c r="D260" s="2" t="inlineStr">
        <is>
          <t xml:space="preserve">Hello! How can we help you?  Report بريد نوف البحيري : 69099924 </t>
        </is>
      </c>
      <c r="E260" s="4" t="inlineStr">
        <is>
          <t>69099924</t>
        </is>
      </c>
    </row>
    <row r="261" ht="18" customHeight="1">
      <c r="A261" s="5">
        <f>?utf-8?B?2YjZhNmK2K8g2KfZhNix2LTZitiv2Yo=?= &lt;heat.6@hotmail.com&gt;</f>
        <v/>
      </c>
      <c r="B261" s="6" t="inlineStr">
        <is>
          <t>heat.6@hotmail.com</t>
        </is>
      </c>
      <c r="C261" s="5" t="inlineStr">
        <is>
          <t>Delete this name</t>
        </is>
      </c>
      <c r="D261" s="5" t="inlineStr">
        <is>
          <t xml:space="preserve">Hello! How can we help you?  Report وكيل عريف. وليد لزام الرشيدي- : 66766688  ‫أُرسلت من الـ iPhone‬ </t>
        </is>
      </c>
      <c r="E261" s="7" t="inlineStr">
        <is>
          <t>66766688</t>
        </is>
      </c>
    </row>
    <row r="262" ht="18" customHeight="1">
      <c r="A262" s="2">
        <f>?utf-8?B?2YjZhNmK2K8g2KfZhNix2LTZitiv2Yo=?= &lt;heat.6@hotmail.com&gt;</f>
        <v/>
      </c>
      <c r="B262" s="3" t="inlineStr">
        <is>
          <t>heat.6@hotmail.com</t>
        </is>
      </c>
      <c r="C262" s="2">
        <f>?utf-8?B?2YTYp9mK2YbYqtiz2Kgg2YTZh9iw2Kcg2KfZhNin2LPZhSDYutmE2Lc=?=</f>
        <v/>
      </c>
      <c r="D262" s="2" t="inlineStr">
        <is>
          <t xml:space="preserve">Hello! How can we help you?  Report وكيل عريف. وليد لزام الرشيدي- : 66766688  ‫أُرسلت من الـ iPhone‬ </t>
        </is>
      </c>
      <c r="E262" s="4" t="inlineStr">
        <is>
          <t>66766688</t>
        </is>
      </c>
    </row>
    <row r="263" ht="18" customHeight="1">
      <c r="A263" s="5" t="inlineStr">
        <is>
          <t>Feras Sami &lt;feras_20133@hotmail.com&gt;</t>
        </is>
      </c>
      <c r="B263" s="6" t="inlineStr">
        <is>
          <t>feras_20133@hotmail.com</t>
        </is>
      </c>
      <c r="C263" s="5">
        <f>?iso-8859-6?B?x9PHwecgyMfkx9PlIA==?=</f>
        <v/>
      </c>
      <c r="D263" s="5" t="inlineStr">
        <is>
          <t xml:space="preserve">����� ���� ���  ����� ����� ������� ��� ��� ��� ��� ���� ���� ���� ����� ������ ������� �� ���� ������� ��� ��� ����� ������� ��� ������� ��������� �������� ������ ����� ���� ���� ������ ������� ��� ���� ����� ������ ���� ��� ����� ���� ������� ������  ���� ��� Outlook �� iOS&lt;https://aka.ms/o0ukef&gt; </t>
        </is>
      </c>
      <c r="E263" s="7" t="inlineStr"/>
    </row>
    <row r="264" ht="18" customHeight="1">
      <c r="A264" s="2" t="inlineStr">
        <is>
          <t>Feras Sami &lt;feras_20133@hotmail.com&gt;</t>
        </is>
      </c>
      <c r="B264" s="3" t="inlineStr">
        <is>
          <t>feras_20133@hotmail.com</t>
        </is>
      </c>
      <c r="C264" s="2">
        <f>?iso-8859-6?B?IMfTx8HnIOTqIMfT5eogx+TZ0cfi6iDo1c/q4srqIMfk1c/o4ucg4dfo?=  =?iso-8859-6?B?5ecg?=</f>
        <v/>
      </c>
      <c r="D264" s="2" t="inlineStr">
        <is>
          <t xml:space="preserve">���� ��� 66363659  ���� ��� Outlook �� iOS&lt;https://aka.ms/o0ukef&gt; </t>
        </is>
      </c>
      <c r="E264" s="4" t="inlineStr">
        <is>
          <t>66363659</t>
        </is>
      </c>
    </row>
    <row r="265" ht="18" customHeight="1">
      <c r="A265" s="5" t="inlineStr">
        <is>
          <t>kkyy6658@icloud.com</t>
        </is>
      </c>
      <c r="B265" s="6" t="inlineStr">
        <is>
          <t>kkyy6658@icloud.com</t>
        </is>
      </c>
      <c r="C265" s="5">
        <f>?utf-8?B?2KfZhNix2YLZhSDYp9mF2YbZiiA=?=</f>
        <v/>
      </c>
      <c r="D265" s="5" t="inlineStr">
        <is>
          <t>Hello! How can we help you?  Report حمد الرخيص : 66561111   ‫أُرسلت من الـ iPhone‬</t>
        </is>
      </c>
      <c r="E265" s="7" t="inlineStr">
        <is>
          <t>66561111</t>
        </is>
      </c>
    </row>
    <row r="266" ht="18" customHeight="1">
      <c r="A266" s="2" t="inlineStr">
        <is>
          <t>kkyy6658@icloud.com</t>
        </is>
      </c>
      <c r="B266" s="3" t="inlineStr">
        <is>
          <t>kkyy6658@icloud.com</t>
        </is>
      </c>
      <c r="C266" s="2">
        <f>?utf-8?B?2KfZhNix2YLZhSDYp9mF2YbZiiA=?=</f>
        <v/>
      </c>
      <c r="D266" s="2" t="inlineStr">
        <is>
          <t>Hello! How can we help you?  Report حمد الرخيص- : 66898962   ‫أُرسلت من الـ iPhone‬</t>
        </is>
      </c>
      <c r="E266" s="4" t="inlineStr">
        <is>
          <t>66898962</t>
        </is>
      </c>
    </row>
    <row r="267" ht="18" customHeight="1">
      <c r="A267" s="5" t="inlineStr">
        <is>
          <t>kkyy6658@icloud.com</t>
        </is>
      </c>
      <c r="B267" s="6" t="inlineStr">
        <is>
          <t>kkyy6658@icloud.com</t>
        </is>
      </c>
      <c r="C267" s="5">
        <f>?utf-8?B?2KfZhNix2YLZhSDYp9mF2YbZiiA=?=</f>
        <v/>
      </c>
      <c r="D267" s="5" t="inlineStr">
        <is>
          <t>Hello! How can we help you?  Report حمد الرخيص - : 60659999   ‫أُرسلت من الـ iPhone‬</t>
        </is>
      </c>
      <c r="E267" s="7" t="inlineStr">
        <is>
          <t>60659999</t>
        </is>
      </c>
    </row>
    <row r="268" ht="18" customHeight="1">
      <c r="A268" s="2" t="inlineStr">
        <is>
          <t>kkyy6658@icloud.com</t>
        </is>
      </c>
      <c r="B268" s="3" t="inlineStr">
        <is>
          <t>kkyy6658@icloud.com</t>
        </is>
      </c>
      <c r="C268" s="2">
        <f>?utf-8?B?2KfZhNix2YLZhSDYp9mF2YbZiiA=?=</f>
        <v/>
      </c>
      <c r="D268" s="2" t="inlineStr">
        <is>
          <t>Hello! How can we help you?  Report حمد الرخيص : 60670700   ‫أُرسلت من الـ iPhone‬</t>
        </is>
      </c>
      <c r="E268" s="4" t="inlineStr">
        <is>
          <t>60670700</t>
        </is>
      </c>
    </row>
    <row r="269" ht="18" customHeight="1">
      <c r="A269" s="5" t="inlineStr">
        <is>
          <t>kkyy6658@icloud.com</t>
        </is>
      </c>
      <c r="B269" s="6" t="inlineStr">
        <is>
          <t>kkyy6658@icloud.com</t>
        </is>
      </c>
      <c r="C269" s="5">
        <f>?utf-8?B?2KfZhNix2YLZhSDYp9mF2YbZiiA=?=</f>
        <v/>
      </c>
      <c r="D269" s="5" t="inlineStr">
        <is>
          <t>Hello! How can we help you?  Report حمد الرخيص/بويوسف- : 66561111   ‫أُرسلت من الـ iPhone‬</t>
        </is>
      </c>
      <c r="E269" s="7" t="inlineStr">
        <is>
          <t>66561111</t>
        </is>
      </c>
    </row>
    <row r="270" ht="18" customHeight="1">
      <c r="A270" s="2" t="inlineStr">
        <is>
          <t>kkyy6658@icloud.com</t>
        </is>
      </c>
      <c r="B270" s="3" t="inlineStr">
        <is>
          <t>kkyy6658@icloud.com</t>
        </is>
      </c>
      <c r="C270" s="2">
        <f>?utf-8?B?2KfZhNix2YLZhSDYp9mF2YbZiiA=?=</f>
        <v/>
      </c>
      <c r="D270" s="2" t="inlineStr">
        <is>
          <t>Hello! How can we help you?  Report حمد الرخيص بو يوسف : 66561111   ‫أُرسلت من الـ iPhone‬</t>
        </is>
      </c>
      <c r="E270" s="4" t="inlineStr">
        <is>
          <t>66561111</t>
        </is>
      </c>
    </row>
    <row r="271" ht="18" customHeight="1">
      <c r="A271" s="5" t="inlineStr">
        <is>
          <t>kkyy6658@icloud.com</t>
        </is>
      </c>
      <c r="B271" s="6" t="inlineStr">
        <is>
          <t>kkyy6658@icloud.com</t>
        </is>
      </c>
      <c r="C271" s="5">
        <f>?utf-8?B?2KfZhNix2YLZhSDYp9mF2YbZiiA=?=</f>
        <v/>
      </c>
      <c r="D271" s="5" t="inlineStr">
        <is>
          <t>Hello! How can we help you?  Report حمد الرخيص زبون شالية : 66561111   ‫أُرسلت من الـ iPhone‬</t>
        </is>
      </c>
      <c r="E271" s="7" t="inlineStr">
        <is>
          <t>66561111</t>
        </is>
      </c>
    </row>
    <row r="272" ht="18" customHeight="1">
      <c r="A272" s="2" t="inlineStr">
        <is>
          <t>kkyy6658@icloud.com</t>
        </is>
      </c>
      <c r="B272" s="3" t="inlineStr">
        <is>
          <t>kkyy6658@icloud.com</t>
        </is>
      </c>
      <c r="C272" s="2">
        <f>?utf-8?B?2KfZhNix2YLZhSDYp9mF2YbZiiA=?=</f>
        <v/>
      </c>
      <c r="D272" s="2" t="inlineStr">
        <is>
          <t>Hello! How can we help you?  Report حمد الرخيص- : 66563333   ‫أُرسلت من الـ iPhone‬</t>
        </is>
      </c>
      <c r="E272" s="4" t="inlineStr">
        <is>
          <t>66563333</t>
        </is>
      </c>
    </row>
    <row r="273" ht="18" customHeight="1">
      <c r="A273" s="5" t="inlineStr">
        <is>
          <t>kkyy6658@icloud.com</t>
        </is>
      </c>
      <c r="B273" s="6" t="inlineStr">
        <is>
          <t>kkyy6658@icloud.com</t>
        </is>
      </c>
      <c r="C273" s="5">
        <f>?utf-8?B?2KfZhNix2YLZhSDYp9mF2YbZiiA=?=</f>
        <v/>
      </c>
      <c r="D273" s="5" t="inlineStr">
        <is>
          <t>Hello! How can we help you?  Report حمد الرخيص عميل : 66561111   ‫أُرسلت من الـ iPhone‬</t>
        </is>
      </c>
      <c r="E273" s="7" t="inlineStr">
        <is>
          <t>66561111</t>
        </is>
      </c>
    </row>
    <row r="274" ht="18" customHeight="1">
      <c r="A274" s="2" t="inlineStr">
        <is>
          <t>kkyy6658@icloud.com</t>
        </is>
      </c>
      <c r="B274" s="3" t="inlineStr">
        <is>
          <t>kkyy6658@icloud.com</t>
        </is>
      </c>
      <c r="C274" s="2">
        <f>?utf-8?B?2KfZhNix2YLZhSDYp9mF2YbZiiA=?=</f>
        <v/>
      </c>
      <c r="D274" s="2" t="inlineStr">
        <is>
          <t>Hello! How can we help you?  Report حمد الرخيص- : 66561111   ‫أُرسلت من الـ iPhone‬</t>
        </is>
      </c>
      <c r="E274" s="4" t="inlineStr">
        <is>
          <t>66561111</t>
        </is>
      </c>
    </row>
    <row r="275" ht="18" customHeight="1">
      <c r="A275" s="5" t="inlineStr">
        <is>
          <t>kkyy6658@icloud.com</t>
        </is>
      </c>
      <c r="B275" s="6" t="inlineStr">
        <is>
          <t>kkyy6658@icloud.com</t>
        </is>
      </c>
      <c r="C275" s="5">
        <f>?utf-8?B?2KfZhNix2YLZhSDYp9mF2YbZiiA=?=</f>
        <v/>
      </c>
      <c r="D275" s="5" t="inlineStr">
        <is>
          <t>Hello! How can we help you?  Report حمد الرخيص : 66819821   ‫أُرسلت من الـ iPhone‬</t>
        </is>
      </c>
      <c r="E275" s="7" t="inlineStr">
        <is>
          <t>66819821</t>
        </is>
      </c>
    </row>
    <row r="276" ht="18" customHeight="1">
      <c r="A276" s="2" t="inlineStr">
        <is>
          <t>kkyy6658@icloud.com</t>
        </is>
      </c>
      <c r="B276" s="3" t="inlineStr">
        <is>
          <t>kkyy6658@icloud.com</t>
        </is>
      </c>
      <c r="C276" s="2">
        <f>?utf-8?B?2KfZhNix2YLZhSDYp9mF2YbZiiA=?=</f>
        <v/>
      </c>
      <c r="D276" s="2" t="inlineStr">
        <is>
          <t>Hello! How can we help you?  Report حمد الرخيص برج ثلاث : 66561111   ‫أُرسلت من الـ iPhone‬</t>
        </is>
      </c>
      <c r="E276" s="4" t="inlineStr">
        <is>
          <t>66561111</t>
        </is>
      </c>
    </row>
    <row r="277" ht="18" customHeight="1">
      <c r="A277" s="5" t="inlineStr">
        <is>
          <t>kkyy6658@icloud.com</t>
        </is>
      </c>
      <c r="B277" s="6" t="inlineStr">
        <is>
          <t>kkyy6658@icloud.com</t>
        </is>
      </c>
      <c r="C277" s="5">
        <f>?utf-8?B?2KfZhNix2YLZhSDYp9mF2YbZiiA=?=</f>
        <v/>
      </c>
      <c r="D277" s="5" t="inlineStr">
        <is>
          <t>Hello! How can we help you?  Report -أبويوسف : 66561111   ‫أُرسلت من الـ iPhone‬</t>
        </is>
      </c>
      <c r="E277" s="7" t="inlineStr">
        <is>
          <t>66561111</t>
        </is>
      </c>
    </row>
    <row r="278" ht="18" customHeight="1">
      <c r="A278" s="2" t="inlineStr">
        <is>
          <t>kkyy6658@icloud.com</t>
        </is>
      </c>
      <c r="B278" s="3" t="inlineStr">
        <is>
          <t>kkyy6658@icloud.com</t>
        </is>
      </c>
      <c r="C278" s="2">
        <f>?utf-8?B?2KfZhNix2YLZhSDYp9mF2YbZiiA=?=</f>
        <v/>
      </c>
      <c r="D278" s="2" t="inlineStr">
        <is>
          <t>Hello! How can we help you?  Report حمد الرخيص بويوسف- : 66561111   ‫أُرسلت من الـ iPhone‬</t>
        </is>
      </c>
      <c r="E278" s="4" t="inlineStr">
        <is>
          <t>66561111</t>
        </is>
      </c>
    </row>
    <row r="279" ht="18" customHeight="1">
      <c r="A279" s="5" t="inlineStr">
        <is>
          <t>kkyy6658@icloud.com</t>
        </is>
      </c>
      <c r="B279" s="6" t="inlineStr">
        <is>
          <t>kkyy6658@icloud.com</t>
        </is>
      </c>
      <c r="C279" s="5">
        <f>?utf-8?B?2KfZhNix2YLZhSDYp9mF2YbZiiA=?=</f>
        <v/>
      </c>
      <c r="D279" s="5" t="inlineStr">
        <is>
          <t>Hello! How can we help you?  Report حمد الرخيص بو يوسف- : 66561111   ‫أُرسلت من الـ iPhone‬</t>
        </is>
      </c>
      <c r="E279" s="7" t="inlineStr">
        <is>
          <t>66561111</t>
        </is>
      </c>
    </row>
    <row r="280" ht="18" customHeight="1">
      <c r="A280" s="2" t="inlineStr">
        <is>
          <t>kkyy6658@icloud.com</t>
        </is>
      </c>
      <c r="B280" s="3" t="inlineStr">
        <is>
          <t>kkyy6658@icloud.com</t>
        </is>
      </c>
      <c r="C280" s="2">
        <f>?utf-8?B?2KfZhNix2YLZhSDYp9mF2YbZiiA=?=</f>
        <v/>
      </c>
      <c r="D280" s="2" t="inlineStr">
        <is>
          <t>Hello! How can we help you?  Report -Hamad Rkayes : 66561111   ‫أُرسلت من الـ iPhone‬</t>
        </is>
      </c>
      <c r="E280" s="4" t="inlineStr">
        <is>
          <t>66561111</t>
        </is>
      </c>
    </row>
    <row r="281" ht="18" customHeight="1">
      <c r="A281" s="5" t="inlineStr">
        <is>
          <t>kkyy6658@icloud.com</t>
        </is>
      </c>
      <c r="B281" s="6" t="inlineStr">
        <is>
          <t>kkyy6658@icloud.com</t>
        </is>
      </c>
      <c r="C281" s="5">
        <f>?utf-8?B?2KfZhNix2YLZhSDYp9mF2YbZiiA=?=</f>
        <v/>
      </c>
      <c r="D281" s="5" t="inlineStr">
        <is>
          <t>Hello! How can we help you?  Report الرخيص- : 66561111   ‫أُرسلت من الـ iPhone‬</t>
        </is>
      </c>
      <c r="E281" s="7" t="inlineStr">
        <is>
          <t>66561111</t>
        </is>
      </c>
    </row>
    <row r="282" ht="18" customHeight="1">
      <c r="A282" s="2" t="inlineStr">
        <is>
          <t>kkyy6658@icloud.com</t>
        </is>
      </c>
      <c r="B282" s="3" t="inlineStr">
        <is>
          <t>kkyy6658@icloud.com</t>
        </is>
      </c>
      <c r="C282" s="2">
        <f>?utf-8?B?2KfZhNix2YLZhSDYp9mF2YbZiiA=?=</f>
        <v/>
      </c>
      <c r="D282" s="2" t="inlineStr">
        <is>
          <t>Hello! How can we help you?  Report حمد-الرخيص : 66561111   ‫أُرسلت من الـ iPhone‬</t>
        </is>
      </c>
      <c r="E282" s="4" t="inlineStr">
        <is>
          <t>66561111</t>
        </is>
      </c>
    </row>
    <row r="283" ht="18" customHeight="1">
      <c r="A283" s="5" t="inlineStr">
        <is>
          <t>kkyy6658@icloud.com</t>
        </is>
      </c>
      <c r="B283" s="6" t="inlineStr">
        <is>
          <t>kkyy6658@icloud.com</t>
        </is>
      </c>
      <c r="C283" s="5">
        <f>?utf-8?B?2KfZhNix2YLZhSDYp9mF2YbZiiA=?=</f>
        <v/>
      </c>
      <c r="D283" s="5" t="inlineStr">
        <is>
          <t>Hello! How can we help you?  Report H. Mahbola- : 66561111   ‫أُرسلت من الـ iPhone‬</t>
        </is>
      </c>
      <c r="E283" s="7" t="inlineStr">
        <is>
          <t>66561111</t>
        </is>
      </c>
    </row>
    <row r="284" ht="18" customHeight="1">
      <c r="A284" s="2" t="inlineStr">
        <is>
          <t>kkyy6658@icloud.com</t>
        </is>
      </c>
      <c r="B284" s="3" t="inlineStr">
        <is>
          <t>kkyy6658@icloud.com</t>
        </is>
      </c>
      <c r="C284" s="2">
        <f>?utf-8?B?2KfZhNix2YLZhSDYp9mF2YbZiiA=?=</f>
        <v/>
      </c>
      <c r="D284" s="2" t="inlineStr">
        <is>
          <t>Hello! How can we help you?  Report حمدالرخيص- : 66561111   ‫أُرسلت من الـ iPhone‬</t>
        </is>
      </c>
      <c r="E284" s="4" t="inlineStr">
        <is>
          <t>66561111</t>
        </is>
      </c>
    </row>
    <row r="285" ht="18" customHeight="1">
      <c r="A285" s="5" t="inlineStr">
        <is>
          <t>kkyy6658@icloud.com</t>
        </is>
      </c>
      <c r="B285" s="6" t="inlineStr">
        <is>
          <t>kkyy6658@icloud.com</t>
        </is>
      </c>
      <c r="C285" s="5">
        <f>?utf-8?B?2KfZhNix2YLZhSDYp9mF2YbZiiA=?=</f>
        <v/>
      </c>
      <c r="D285" s="5" t="inlineStr">
        <is>
          <t>Hello! How can we help you?  Report خ حمد الرخيص- : 66561111   ‫أُرسلت من الـ iPhone‬</t>
        </is>
      </c>
      <c r="E285" s="7" t="inlineStr">
        <is>
          <t>66561111</t>
        </is>
      </c>
    </row>
    <row r="286" ht="18" customHeight="1">
      <c r="A286" s="2" t="inlineStr">
        <is>
          <t>kkyy6658@icloud.com</t>
        </is>
      </c>
      <c r="B286" s="3" t="inlineStr">
        <is>
          <t>kkyy6658@icloud.com</t>
        </is>
      </c>
      <c r="C286" s="2">
        <f>?utf-8?B?2KfZhNix2YLZhSDYp9mF2YbZiiA=?=</f>
        <v/>
      </c>
      <c r="D286" s="2" t="inlineStr">
        <is>
          <t>Hello! How can we help you?  Report -حمد الرخيص3 : 66561111   ‫أُرسلت من الـ iPhone‬</t>
        </is>
      </c>
      <c r="E286" s="4" t="inlineStr">
        <is>
          <t>66561111</t>
        </is>
      </c>
    </row>
    <row r="287" ht="18" customHeight="1">
      <c r="A287" s="5" t="inlineStr">
        <is>
          <t>kkyy6658@icloud.com</t>
        </is>
      </c>
      <c r="B287" s="6" t="inlineStr">
        <is>
          <t>kkyy6658@icloud.com</t>
        </is>
      </c>
      <c r="C287" s="5">
        <f>?utf-8?B?2KfZhNix2YLZhSDYp9mF2YbZiiA=?=</f>
        <v/>
      </c>
      <c r="D287" s="5" t="inlineStr">
        <is>
          <t>Hello! How can we help you?  Report ألرخيص- : 66561111   ‫أُرسلت من الـ iPhone‬</t>
        </is>
      </c>
      <c r="E287" s="7" t="inlineStr">
        <is>
          <t>66561111</t>
        </is>
      </c>
    </row>
    <row r="288" ht="18" customHeight="1">
      <c r="A288" s="2" t="inlineStr">
        <is>
          <t>kkyy6658@icloud.com</t>
        </is>
      </c>
      <c r="B288" s="3" t="inlineStr">
        <is>
          <t>kkyy6658@icloud.com</t>
        </is>
      </c>
      <c r="C288" s="2">
        <f>?utf-8?B?2KfZhNix2YLZhSDYp9mF2YbZiiA=?=</f>
        <v/>
      </c>
      <c r="D288" s="2" t="inlineStr">
        <is>
          <t>Hello! How can we help you?  Report حمد الرخيص/بويوسف- : 66561111   ‫أُرسلت من الـ iPhone‬</t>
        </is>
      </c>
      <c r="E288" s="4" t="inlineStr">
        <is>
          <t>66561111</t>
        </is>
      </c>
    </row>
    <row r="289" ht="18" customHeight="1">
      <c r="A289" s="5" t="inlineStr">
        <is>
          <t>kkyy6658@icloud.com</t>
        </is>
      </c>
      <c r="B289" s="6" t="inlineStr">
        <is>
          <t>kkyy6658@icloud.com</t>
        </is>
      </c>
      <c r="C289" s="5">
        <f>?utf-8?B?2KfZhNix2YLZhSDYp9mF2YbZiiA=?=</f>
        <v/>
      </c>
      <c r="D289" s="5" t="inlineStr">
        <is>
          <t>Hello! How can we help you?  Report ابويوسف-الرخيص : 66561111   ‫أُرسلت من الـ iPhone‬</t>
        </is>
      </c>
      <c r="E289" s="7" t="inlineStr">
        <is>
          <t>66561111</t>
        </is>
      </c>
    </row>
    <row r="290" ht="18" customHeight="1">
      <c r="A290" s="2" t="inlineStr">
        <is>
          <t>kkyy6658@icloud.com</t>
        </is>
      </c>
      <c r="B290" s="3" t="inlineStr">
        <is>
          <t>kkyy6658@icloud.com</t>
        </is>
      </c>
      <c r="C290" s="2">
        <f>?utf-8?B?2KfZhNix2YLZhSDYp9mF2YbZiiA=?=</f>
        <v/>
      </c>
      <c r="D290" s="2" t="inlineStr">
        <is>
          <t>Hello! How can we help you?  Report -حمد الرخيص : 66561111   ‫أُرسلت من الـ iPhone‬</t>
        </is>
      </c>
      <c r="E290" s="4" t="inlineStr">
        <is>
          <t>66561111</t>
        </is>
      </c>
    </row>
    <row r="291" ht="18" customHeight="1">
      <c r="A291" s="5" t="inlineStr">
        <is>
          <t>kkyy6658@icloud.com</t>
        </is>
      </c>
      <c r="B291" s="6" t="inlineStr">
        <is>
          <t>kkyy6658@icloud.com</t>
        </is>
      </c>
      <c r="C291" s="5">
        <f>?utf-8?B?2KfZhNix2YLZhSDYp9mF2YbZiiA=?=</f>
        <v/>
      </c>
      <c r="D291" s="5" t="inlineStr">
        <is>
          <t>Hello! How can we help you?  Report حمد الرخيص- : 66561111   ‫أُرسلت من الـ iPhone‬</t>
        </is>
      </c>
      <c r="E291" s="7" t="inlineStr">
        <is>
          <t>66561111</t>
        </is>
      </c>
    </row>
    <row r="292" ht="18" customHeight="1">
      <c r="A292" s="2" t="inlineStr">
        <is>
          <t>kkyy6658@icloud.com</t>
        </is>
      </c>
      <c r="B292" s="3" t="inlineStr">
        <is>
          <t>kkyy6658@icloud.com</t>
        </is>
      </c>
      <c r="C292" s="2">
        <f>?utf-8?B?2KfZhNix2YLZhSDYp9mF2YbZiiA=?=</f>
        <v/>
      </c>
      <c r="D292" s="2" t="inlineStr">
        <is>
          <t>Hello! How can we help you?  Report ابو يوسف 16 جمب بيتزهات - : 66561111   ‫أُرسلت من الـ iPhone‬</t>
        </is>
      </c>
      <c r="E292" s="4" t="inlineStr">
        <is>
          <t>66561111</t>
        </is>
      </c>
    </row>
    <row r="293" ht="18" customHeight="1">
      <c r="A293" s="5" t="inlineStr">
        <is>
          <t>kkyy6658@icloud.com</t>
        </is>
      </c>
      <c r="B293" s="6" t="inlineStr">
        <is>
          <t>kkyy6658@icloud.com</t>
        </is>
      </c>
      <c r="C293" s="5">
        <f>?utf-8?B?2KfZhNix2YLZhSDYp9mF2YbZiiA=?=</f>
        <v/>
      </c>
      <c r="D293" s="5" t="inlineStr">
        <is>
          <t>Hello! How can we help you?  Report حمد الرخيس- : 66561111   ‫أُرسلت من الـ iPhone‬</t>
        </is>
      </c>
      <c r="E293" s="7" t="inlineStr">
        <is>
          <t>66561111</t>
        </is>
      </c>
    </row>
    <row r="294" ht="18" customHeight="1">
      <c r="A294" s="2" t="inlineStr">
        <is>
          <t>kkyy6658@icloud.com</t>
        </is>
      </c>
      <c r="B294" s="3" t="inlineStr">
        <is>
          <t>kkyy6658@icloud.com</t>
        </is>
      </c>
      <c r="C294" s="2">
        <f>?utf-8?B?2KfZhNix2YLZhSDYp9mF2YbZiiA=?=</f>
        <v/>
      </c>
      <c r="D294" s="2" t="inlineStr">
        <is>
          <t>Hello! How can we help you?  Report حمد محمد الرخيص- : 66561111   ‫أُرسلت من الـ iPhone‬</t>
        </is>
      </c>
      <c r="E294" s="4" t="inlineStr">
        <is>
          <t>66561111</t>
        </is>
      </c>
    </row>
    <row r="295" ht="18" customHeight="1">
      <c r="A295" s="5" t="inlineStr">
        <is>
          <t>kkyy6658@icloud.com</t>
        </is>
      </c>
      <c r="B295" s="6" t="inlineStr">
        <is>
          <t>kkyy6658@icloud.com</t>
        </is>
      </c>
      <c r="C295" s="5">
        <f>?utf-8?B?2KfZhNix2YLZhSDYp9mF2YbZiiA=?=</f>
        <v/>
      </c>
      <c r="D295" s="5" t="inlineStr">
        <is>
          <t>Hello! How can we help you?  Report الرخيص-حمد : 66561111   ‫أُرسلت من الـ iPhone‬</t>
        </is>
      </c>
      <c r="E295" s="7" t="inlineStr">
        <is>
          <t>66561111</t>
        </is>
      </c>
    </row>
    <row r="296" ht="18" customHeight="1">
      <c r="A296" s="2" t="inlineStr">
        <is>
          <t>kkyy6658@icloud.com</t>
        </is>
      </c>
      <c r="B296" s="3" t="inlineStr">
        <is>
          <t>kkyy6658@icloud.com</t>
        </is>
      </c>
      <c r="C296" s="2">
        <f>?utf-8?B?2KfZhNix2YLZhSDYp9mF2YbZiiA=?=</f>
        <v/>
      </c>
      <c r="D296" s="2" t="inlineStr">
        <is>
          <t>Hello! How can we help you?  Report هبه الرخيص- : 66561111   ‫أُرسلت من الـ iPhone‬</t>
        </is>
      </c>
      <c r="E296" s="4" t="inlineStr">
        <is>
          <t>66561111</t>
        </is>
      </c>
    </row>
    <row r="297" ht="18" customHeight="1">
      <c r="A297" s="5" t="inlineStr">
        <is>
          <t>kkyy6658@icloud.com</t>
        </is>
      </c>
      <c r="B297" s="6" t="inlineStr">
        <is>
          <t>kkyy6658@icloud.com</t>
        </is>
      </c>
      <c r="C297" s="5">
        <f>?utf-8?B?2KfZhNix2YLZhSDYp9mF2YbZiiA=?=</f>
        <v/>
      </c>
      <c r="D297" s="5" t="inlineStr">
        <is>
          <t>Hello! How can we help you?  Report حمد الرخيص ابو يوسف- : 66561111   ‫أُرسلت من الـ iPhone‬</t>
        </is>
      </c>
      <c r="E297" s="7" t="inlineStr">
        <is>
          <t>66561111</t>
        </is>
      </c>
    </row>
    <row r="298" ht="18" customHeight="1">
      <c r="A298" s="2" t="inlineStr">
        <is>
          <t>kkyy6658@icloud.com</t>
        </is>
      </c>
      <c r="B298" s="3" t="inlineStr">
        <is>
          <t>kkyy6658@icloud.com</t>
        </is>
      </c>
      <c r="C298" s="2">
        <f>?utf-8?B?2KfZhNix2YLZhSDYp9mF2YbZiiA=?=</f>
        <v/>
      </c>
      <c r="D298" s="2" t="inlineStr">
        <is>
          <t>Hello! How can we help you?  Report حمد + ايمن تركيا : 66561111   ‫أُرسلت من الـ iPhone‬</t>
        </is>
      </c>
      <c r="E298" s="4" t="inlineStr">
        <is>
          <t>66561111</t>
        </is>
      </c>
    </row>
    <row r="299" ht="18" customHeight="1">
      <c r="A299" s="5" t="inlineStr">
        <is>
          <t>kkyy6658@icloud.com</t>
        </is>
      </c>
      <c r="B299" s="6" t="inlineStr">
        <is>
          <t>kkyy6658@icloud.com</t>
        </is>
      </c>
      <c r="C299" s="5">
        <f>?utf-8?B?2KfZhNix2YLZhSDYp9mF2YbZiiA=?=</f>
        <v/>
      </c>
      <c r="D299" s="5" t="inlineStr">
        <is>
          <t>Hello! How can we help you?  Report حمد الرخيص : 66561111   ‫أُرسلت من الـ iPhone‬</t>
        </is>
      </c>
      <c r="E299" s="7" t="inlineStr">
        <is>
          <t>66561111</t>
        </is>
      </c>
    </row>
    <row r="300" ht="18" customHeight="1">
      <c r="A300" s="2" t="inlineStr">
        <is>
          <t>kkyy6658@icloud.com</t>
        </is>
      </c>
      <c r="B300" s="3" t="inlineStr">
        <is>
          <t>kkyy6658@icloud.com</t>
        </is>
      </c>
      <c r="C300" s="2">
        <f>?utf-8?B?2KfZhNix2YLZhSDYp9mF2YbZiiA=?=</f>
        <v/>
      </c>
      <c r="D300" s="2" t="inlineStr">
        <is>
          <t>Hello! How can we help you?  Report حمد الرخيص 1 : 66561111   ‫أُرسلت من الـ iPhone‬</t>
        </is>
      </c>
      <c r="E300" s="4" t="inlineStr">
        <is>
          <t>66561111</t>
        </is>
      </c>
    </row>
    <row r="301" ht="18" customHeight="1">
      <c r="A301" s="5" t="inlineStr">
        <is>
          <t>kkyy6658@icloud.com</t>
        </is>
      </c>
      <c r="B301" s="6" t="inlineStr">
        <is>
          <t>kkyy6658@icloud.com</t>
        </is>
      </c>
      <c r="C301" s="5">
        <f>?utf-8?B?2KfZhNix2YLZhSDYp9mF2YbZiiA=?=</f>
        <v/>
      </c>
      <c r="D301" s="5" t="inlineStr">
        <is>
          <t>Hello! How can we help you?  Report 7madeen : 66561111   ‫أُرسلت من الـ iPhone‬</t>
        </is>
      </c>
      <c r="E301" s="7" t="inlineStr">
        <is>
          <t>66561111</t>
        </is>
      </c>
    </row>
    <row r="302" ht="18" customHeight="1">
      <c r="A302" s="2" t="inlineStr">
        <is>
          <t>kkyy6658@icloud.com</t>
        </is>
      </c>
      <c r="B302" s="3" t="inlineStr">
        <is>
          <t>kkyy6658@icloud.com</t>
        </is>
      </c>
      <c r="C302" s="2">
        <f>?utf-8?B?2KfZhNix2YLZhSDYp9mF2YbZiiA=?=</f>
        <v/>
      </c>
      <c r="D302" s="2" t="inlineStr">
        <is>
          <t>Hello! How can we help you?  Report حمد الرخص : 66561111   ‫أُرسلت من الـ iPhone‬</t>
        </is>
      </c>
      <c r="E302" s="4" t="inlineStr">
        <is>
          <t>66561111</t>
        </is>
      </c>
    </row>
    <row r="303" ht="18" customHeight="1">
      <c r="A303" s="5" t="inlineStr">
        <is>
          <t>kkyy6658@icloud.com</t>
        </is>
      </c>
      <c r="B303" s="6" t="inlineStr">
        <is>
          <t>kkyy6658@icloud.com</t>
        </is>
      </c>
      <c r="C303" s="5">
        <f>?utf-8?B?2KfZhNix2YLZhSDYp9mF2YbZiiA=?=</f>
        <v/>
      </c>
      <c r="D303" s="5" t="inlineStr">
        <is>
          <t>Hello! How can we help you?  Report زيت السرة ق 5 ش 4 م 27 : 66561111   ‫أُرسلت من الـ iPhone‬</t>
        </is>
      </c>
      <c r="E303" s="7" t="inlineStr">
        <is>
          <t>66561111</t>
        </is>
      </c>
    </row>
    <row r="304" ht="18" customHeight="1">
      <c r="A304" s="2" t="inlineStr">
        <is>
          <t>kkyy6658@icloud.com</t>
        </is>
      </c>
      <c r="B304" s="3" t="inlineStr">
        <is>
          <t>kkyy6658@icloud.com</t>
        </is>
      </c>
      <c r="C304" s="2">
        <f>?utf-8?B?2KfZhNix2YLZhSDYp9mF2YbZiiA=?=</f>
        <v/>
      </c>
      <c r="D304" s="2" t="inlineStr">
        <is>
          <t>Hello! How can we help you?  Report بويوسف رخيص : 66561111   ‫أُرسلت من الـ iPhone‬</t>
        </is>
      </c>
      <c r="E304" s="4" t="inlineStr">
        <is>
          <t>66561111</t>
        </is>
      </c>
    </row>
    <row r="305" ht="18" customHeight="1">
      <c r="A305" s="5" t="inlineStr">
        <is>
          <t>kkyy6658@icloud.com</t>
        </is>
      </c>
      <c r="B305" s="6" t="inlineStr">
        <is>
          <t>kkyy6658@icloud.com</t>
        </is>
      </c>
      <c r="C305" s="5">
        <f>?utf-8?B?2KfZhNix2YLZhSDYp9mF2YbZiiA=?=</f>
        <v/>
      </c>
      <c r="D305" s="5" t="inlineStr">
        <is>
          <t>Hello! How can we help you?  Report Hamad Rkayes : 66561111   ‫أُرسلت من الـ iPhone‬</t>
        </is>
      </c>
      <c r="E305" s="7" t="inlineStr">
        <is>
          <t>66561111</t>
        </is>
      </c>
    </row>
    <row r="306" ht="18" customHeight="1">
      <c r="A306" s="2" t="inlineStr">
        <is>
          <t>kkyy6658@icloud.com</t>
        </is>
      </c>
      <c r="B306" s="3" t="inlineStr">
        <is>
          <t>kkyy6658@icloud.com</t>
        </is>
      </c>
      <c r="C306" s="2">
        <f>?utf-8?B?2KfZhNix2YLZhSDYp9mF2YbZiiA=?=</f>
        <v/>
      </c>
      <c r="D306" s="2" t="inlineStr">
        <is>
          <t>Hello! How can we help you?  Report ابو يوسف حمد : 66561111   ‫أُرسلت من الـ iPhone‬</t>
        </is>
      </c>
      <c r="E306" s="4" t="inlineStr">
        <is>
          <t>66561111</t>
        </is>
      </c>
    </row>
    <row r="307" ht="18" customHeight="1">
      <c r="A307" s="5" t="inlineStr">
        <is>
          <t>khalid almutairi &lt;5ex@live.com&gt;</t>
        </is>
      </c>
      <c r="B307" s="6" t="inlineStr">
        <is>
          <t>5ex@live.com</t>
        </is>
      </c>
      <c r="C307" s="5">
        <f>?utf-8?B?2YXZh9mFINis2K/Yp9mLINiMICDYudiv2YUg2YbYtNixINmF2LnZhNmI2YU=?=  =?utf-8?B?2KfYqtmKINin2YTYtNiu2LXZitmHIA==?=</f>
        <v/>
      </c>
      <c r="D307" s="5"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307" s="7" t="inlineStr">
        <is>
          <t>65188868</t>
        </is>
      </c>
    </row>
    <row r="308" ht="18" customHeight="1">
      <c r="A308" s="2" t="inlineStr">
        <is>
          <t>kkyy6658@icloud.com</t>
        </is>
      </c>
      <c r="B308" s="3" t="inlineStr">
        <is>
          <t>kkyy6658@icloud.com</t>
        </is>
      </c>
      <c r="C308" s="2">
        <f>?utf-8?B?2KfZhNix2YLZhSDYp9mF2YbZiiA=?=</f>
        <v/>
      </c>
      <c r="D308" s="2" t="inlineStr">
        <is>
          <t>Hello! How can we help you?  Report حمد الرخيص ابو يوسف : 66561111   ‫أُرسلت من الـ iPhone‬</t>
        </is>
      </c>
      <c r="E308" s="4" t="inlineStr">
        <is>
          <t>66561111</t>
        </is>
      </c>
    </row>
    <row r="309" ht="18" customHeight="1">
      <c r="A309" s="5" t="inlineStr">
        <is>
          <t>kkyy6658@icloud.com</t>
        </is>
      </c>
      <c r="B309" s="6" t="inlineStr">
        <is>
          <t>kkyy6658@icloud.com</t>
        </is>
      </c>
      <c r="C309" s="5">
        <f>?utf-8?B?2KfZhNix2YLZhSDYp9mF2YbZiiA=?=</f>
        <v/>
      </c>
      <c r="D309" s="5" t="inlineStr">
        <is>
          <t>Hello! How can we help you?  Report حمد الرخيص بويوسف : 66561111   ‫أُرسلت من الـ iPhone‬</t>
        </is>
      </c>
      <c r="E309" s="7" t="inlineStr">
        <is>
          <t>66561111</t>
        </is>
      </c>
    </row>
    <row r="310" ht="18" customHeight="1">
      <c r="A310" s="2" t="inlineStr">
        <is>
          <t>kkyy6658@icloud.com</t>
        </is>
      </c>
      <c r="B310" s="3" t="inlineStr">
        <is>
          <t>kkyy6658@icloud.com</t>
        </is>
      </c>
      <c r="C310" s="2">
        <f>?utf-8?B?2KfZhNix2YLZhSDYp9mF2YbZiiA=?=</f>
        <v/>
      </c>
      <c r="D310" s="2" t="inlineStr">
        <is>
          <t>Hello! How can we help you?  Report حمد الرخيص ابو يوسف : 66561111   ‫أُرسلت من الـ iPhone‬</t>
        </is>
      </c>
      <c r="E310" s="4" t="inlineStr">
        <is>
          <t>66561111</t>
        </is>
      </c>
    </row>
    <row r="311" ht="18" customHeight="1">
      <c r="A311" s="5" t="inlineStr">
        <is>
          <t>kkyy6658@icloud.com</t>
        </is>
      </c>
      <c r="B311" s="6" t="inlineStr">
        <is>
          <t>kkyy6658@icloud.com</t>
        </is>
      </c>
      <c r="C311" s="5">
        <f>?utf-8?B?2KfZhNix2YLZhSDYp9mF2YbZiiA=?=</f>
        <v/>
      </c>
      <c r="D311" s="5" t="inlineStr">
        <is>
          <t>Hello! How can we help you?  Report Mohamad Rkhayes Bo Mhmd : 66561111   ‫أُرسلت من الـ iPhone‬</t>
        </is>
      </c>
      <c r="E311" s="7" t="inlineStr">
        <is>
          <t>66561111</t>
        </is>
      </c>
    </row>
    <row r="312" ht="18" customHeight="1">
      <c r="A312" s="2" t="inlineStr">
        <is>
          <t>kkyy6658@icloud.com</t>
        </is>
      </c>
      <c r="B312" s="3" t="inlineStr">
        <is>
          <t>kkyy6658@icloud.com</t>
        </is>
      </c>
      <c r="C312" s="2">
        <f>?utf-8?B?2KfZhNix2YLZhSDYp9mF2YbZiiA=?=</f>
        <v/>
      </c>
      <c r="D312" s="2" t="inlineStr">
        <is>
          <t>Hello! How can we help you?  Report حمدالرخيص شراي عمارة ابوحليفة : 66561111   ‫أُرسلت من الـ iPhone‬</t>
        </is>
      </c>
      <c r="E312" s="4" t="inlineStr">
        <is>
          <t>66561111</t>
        </is>
      </c>
    </row>
    <row r="313" ht="18" customHeight="1">
      <c r="A313" s="5" t="inlineStr">
        <is>
          <t>kkyy6658@icloud.com</t>
        </is>
      </c>
      <c r="B313" s="6" t="inlineStr">
        <is>
          <t>kkyy6658@icloud.com</t>
        </is>
      </c>
      <c r="C313" s="5">
        <f>?utf-8?B?2KfZhNix2YLZhSDYp9mF2YbZiiA=?=</f>
        <v/>
      </c>
      <c r="D313" s="5" t="inlineStr">
        <is>
          <t>Hello! How can we help you?  Report خاله سفانه2 : 66561111   ‫أُرسلت من الـ iPhone‬</t>
        </is>
      </c>
      <c r="E313" s="7" t="inlineStr">
        <is>
          <t>66561111</t>
        </is>
      </c>
    </row>
    <row r="314" ht="18" customHeight="1">
      <c r="A314" s="2" t="inlineStr">
        <is>
          <t>kkyy6658@icloud.com</t>
        </is>
      </c>
      <c r="B314" s="3" t="inlineStr">
        <is>
          <t>kkyy6658@icloud.com</t>
        </is>
      </c>
      <c r="C314" s="2">
        <f>?utf-8?B?2KfZhNix2YLZhSDYp9mF2YbZiiA=?=</f>
        <v/>
      </c>
      <c r="D314" s="2" t="inlineStr">
        <is>
          <t>Hello! How can we help you?  Report حمد الرخيص بو يوسف : 66561111   ‫أُرسلت من الـ iPhone‬</t>
        </is>
      </c>
      <c r="E314" s="4" t="inlineStr">
        <is>
          <t>66561111</t>
        </is>
      </c>
    </row>
    <row r="315" ht="18" customHeight="1">
      <c r="A315" s="5" t="inlineStr">
        <is>
          <t>kkyy6658@icloud.com</t>
        </is>
      </c>
      <c r="B315" s="6" t="inlineStr">
        <is>
          <t>kkyy6658@icloud.com</t>
        </is>
      </c>
      <c r="C315" s="5">
        <f>?utf-8?B?2KfZhNix2YLZhSDYp9mF2YbZiiA=?=</f>
        <v/>
      </c>
      <c r="D315" s="5" t="inlineStr">
        <is>
          <t>Hello! How can we help you?  Report بويوسف ;الرخيص : 66561111   ‫أُرسلت من الـ iPhone‬</t>
        </is>
      </c>
      <c r="E315" s="7" t="inlineStr">
        <is>
          <t>66561111</t>
        </is>
      </c>
    </row>
    <row r="316" ht="18" customHeight="1">
      <c r="A316" s="2" t="inlineStr">
        <is>
          <t>kkyy6658@icloud.com</t>
        </is>
      </c>
      <c r="B316" s="3" t="inlineStr">
        <is>
          <t>kkyy6658@icloud.com</t>
        </is>
      </c>
      <c r="C316" s="2">
        <f>?utf-8?B?2KfZhNix2YLZhSDYp9mF2YbZiiA=?=</f>
        <v/>
      </c>
      <c r="D316" s="2" t="inlineStr">
        <is>
          <t>Hello! How can we help you?  Report hamad rkhayes : 66561111   ‫أُرسلت من الـ iPhone‬</t>
        </is>
      </c>
      <c r="E316" s="4" t="inlineStr">
        <is>
          <t>66561111</t>
        </is>
      </c>
    </row>
    <row r="317" ht="18" customHeight="1">
      <c r="A317" s="5" t="inlineStr">
        <is>
          <t>kkyy6658@icloud.com</t>
        </is>
      </c>
      <c r="B317" s="6" t="inlineStr">
        <is>
          <t>kkyy6658@icloud.com</t>
        </is>
      </c>
      <c r="C317" s="5">
        <f>?utf-8?B?2KfZhNix2YLZhSDYp9mF2YbZiiA=?=</f>
        <v/>
      </c>
      <c r="D317" s="5" t="inlineStr">
        <is>
          <t>Hello! How can we help you?  Report H abo Yosef : 66561111   ‫أُرسلت من الـ iPhone‬</t>
        </is>
      </c>
      <c r="E317" s="7" t="inlineStr">
        <is>
          <t>66561111</t>
        </is>
      </c>
    </row>
    <row r="318" ht="18" customHeight="1">
      <c r="A318" s="2" t="inlineStr">
        <is>
          <t>kkyy6658@icloud.com</t>
        </is>
      </c>
      <c r="B318" s="3" t="inlineStr">
        <is>
          <t>kkyy6658@icloud.com</t>
        </is>
      </c>
      <c r="C318" s="2">
        <f>?utf-8?B?2KfZhNix2YLZhSDYp9mF2YbZiiA=?=</f>
        <v/>
      </c>
      <c r="D318" s="2" t="inlineStr">
        <is>
          <t>Hello! How can we help you?  Report حمدالرخيص بويوسف : 66561111   ‫أُرسلت من الـ iPhone‬</t>
        </is>
      </c>
      <c r="E318" s="4" t="inlineStr">
        <is>
          <t>66561111</t>
        </is>
      </c>
    </row>
    <row r="319" ht="18" customHeight="1">
      <c r="A319" s="5" t="inlineStr">
        <is>
          <t>kkyy6658@icloud.com</t>
        </is>
      </c>
      <c r="B319" s="6" t="inlineStr">
        <is>
          <t>kkyy6658@icloud.com</t>
        </is>
      </c>
      <c r="C319" s="5">
        <f>?utf-8?B?2KfZhNix2YLZhSDYp9mF2YbZiiA=?=</f>
        <v/>
      </c>
      <c r="D319" s="5" t="inlineStr">
        <is>
          <t>Hello! How can we help you?  Report زبونه من المعرض : 66561111   ‫أُرسلت من الـ iPhone‬</t>
        </is>
      </c>
      <c r="E319" s="7" t="inlineStr">
        <is>
          <t>66561111</t>
        </is>
      </c>
    </row>
    <row r="320" ht="18" customHeight="1">
      <c r="A320" s="2" t="inlineStr">
        <is>
          <t>kkyy6658@icloud.com</t>
        </is>
      </c>
      <c r="B320" s="3" t="inlineStr">
        <is>
          <t>kkyy6658@icloud.com</t>
        </is>
      </c>
      <c r="C320" s="2">
        <f>?utf-8?B?2KfZhNix2YLZhSDYp9mF2YbZiiA=?=</f>
        <v/>
      </c>
      <c r="D320" s="2" t="inlineStr">
        <is>
          <t>Hello! How can we help you?  Report 66561111 حمد الرخيص : 66561111   ‫أُرسلت من الـ iPhone‬</t>
        </is>
      </c>
      <c r="E320" s="4" t="inlineStr">
        <is>
          <t>66561111</t>
        </is>
      </c>
    </row>
    <row r="321" ht="18" customHeight="1">
      <c r="A321" s="5" t="inlineStr">
        <is>
          <t>kkyy6658@icloud.com</t>
        </is>
      </c>
      <c r="B321" s="6" t="inlineStr">
        <is>
          <t>kkyy6658@icloud.com</t>
        </is>
      </c>
      <c r="C321" s="5">
        <f>?utf-8?B?2KfZhNix2YLZhSDYp9mF2YbZiiA=?=</f>
        <v/>
      </c>
      <c r="D321" s="5" t="inlineStr">
        <is>
          <t>Hello! How can we help you?  Report أ ر89 : 66561111   ‫أُرسلت من الـ iPhone‬</t>
        </is>
      </c>
      <c r="E321" s="7" t="inlineStr">
        <is>
          <t>66561111</t>
        </is>
      </c>
    </row>
    <row r="322" ht="18" customHeight="1">
      <c r="A322" s="2" t="inlineStr">
        <is>
          <t>kkyy6658@icloud.com</t>
        </is>
      </c>
      <c r="B322" s="3" t="inlineStr">
        <is>
          <t>kkyy6658@icloud.com</t>
        </is>
      </c>
      <c r="C322" s="2">
        <f>?utf-8?B?2KfZhNix2YLZhSDYp9mF2YbZiiA=?=</f>
        <v/>
      </c>
      <c r="D322" s="2" t="inlineStr">
        <is>
          <t>Hello! How can we help you?  Report 66561111 حمد الرخيص ابويوسف : 66561111   ‫أُرسلت من الـ iPhone‬</t>
        </is>
      </c>
      <c r="E322" s="4" t="inlineStr">
        <is>
          <t>66561111</t>
        </is>
      </c>
    </row>
    <row r="323" ht="18" customHeight="1">
      <c r="A323" s="5" t="inlineStr">
        <is>
          <t>kkyy6658@icloud.com</t>
        </is>
      </c>
      <c r="B323" s="6" t="inlineStr">
        <is>
          <t>kkyy6658@icloud.com</t>
        </is>
      </c>
      <c r="C323" s="5">
        <f>?utf-8?B?2KfZhNix2YLZhSDYp9mF2YbZiiA=?=</f>
        <v/>
      </c>
      <c r="D323" s="5" t="inlineStr">
        <is>
          <t>Hello! How can we help you?  Report حمدارخيص : 66561111   ‫أُرسلت من الـ iPhone‬</t>
        </is>
      </c>
      <c r="E323" s="7" t="inlineStr">
        <is>
          <t>66561111</t>
        </is>
      </c>
    </row>
    <row r="324" ht="18" customHeight="1">
      <c r="A324" s="2" t="inlineStr">
        <is>
          <t>kkyy6658@icloud.com</t>
        </is>
      </c>
      <c r="B324" s="3" t="inlineStr">
        <is>
          <t>kkyy6658@icloud.com</t>
        </is>
      </c>
      <c r="C324" s="2">
        <f>?utf-8?B?2KfZhNix2YLZhSDYp9mF2YbZiiA=?=</f>
        <v/>
      </c>
      <c r="D324" s="2" t="inlineStr">
        <is>
          <t>Hello! How can we help you?  Report Hamad Rkhayes Hotel : 66561111   ‫أُرسلت من الـ iPhone‬</t>
        </is>
      </c>
      <c r="E324" s="4" t="inlineStr">
        <is>
          <t>66561111</t>
        </is>
      </c>
    </row>
    <row r="325" ht="18" customHeight="1">
      <c r="A325" s="5" t="inlineStr">
        <is>
          <t>kkyy6658@icloud.com</t>
        </is>
      </c>
      <c r="B325" s="6" t="inlineStr">
        <is>
          <t>kkyy6658@icloud.com</t>
        </is>
      </c>
      <c r="C325" s="5">
        <f>?utf-8?B?2KfZhNix2YLZhSDYp9mF2YbZiiA=?=</f>
        <v/>
      </c>
      <c r="D325" s="5" t="inlineStr">
        <is>
          <t>Hello! How can we help you?  Report حمد رخيص / أبو يوسف : 66561111   ‫أُرسلت من الـ iPhone‬</t>
        </is>
      </c>
      <c r="E325" s="7" t="inlineStr">
        <is>
          <t>66561111</t>
        </is>
      </c>
    </row>
    <row r="326" ht="18" customHeight="1">
      <c r="A326" s="2" t="inlineStr">
        <is>
          <t>Faleh Deairem Mohammad Alajmi &lt;fd.ajmi@knpc.com&gt;</t>
        </is>
      </c>
      <c r="B326" s="3" t="inlineStr">
        <is>
          <t>fd.ajmi@knpc.com</t>
        </is>
      </c>
      <c r="C326" s="2" t="inlineStr"/>
      <c r="D326" s="2" t="inlineStr">
        <is>
          <t xml:space="preserve">Hello! How can we help you?  Report فويلح-دعيرم : 50512127  ‫أُرسلت من الـ iPhone‬ </t>
        </is>
      </c>
      <c r="E326" s="4" t="inlineStr">
        <is>
          <t>50512127</t>
        </is>
      </c>
    </row>
    <row r="327" ht="18" customHeight="1">
      <c r="A327" s="5" t="inlineStr">
        <is>
          <t>Mohammed Alajmi &lt;mohammedbojmu@gmail.com&gt;</t>
        </is>
      </c>
      <c r="B327" s="6" t="inlineStr">
        <is>
          <t>mohammedbojmu@gmail.com</t>
        </is>
      </c>
      <c r="C327" s="5">
        <f>?utf-8?B?2KfYqtmF2YbZiSDZhdiz2K0g2KfZhNin2LPZhSA=?=</f>
        <v/>
      </c>
      <c r="D327" s="5" t="inlineStr">
        <is>
          <t>Hello! How can we help you?  Report ز ابن متناكة فهد : 66407587   Sent from my iPhone</t>
        </is>
      </c>
      <c r="E327" s="7" t="inlineStr">
        <is>
          <t>66407587</t>
        </is>
      </c>
    </row>
    <row r="328" ht="18" customHeight="1">
      <c r="A328" s="2" t="inlineStr">
        <is>
          <t>maali alshrifi &lt;maalialshrifi@yahoo.com&gt;</t>
        </is>
      </c>
      <c r="B328" s="3" t="inlineStr">
        <is>
          <t>maalialshrifi@yahoo.com</t>
        </is>
      </c>
      <c r="C328" s="2">
        <f>?utf-8?B?2KfZhNix2KzYp9ihINin2YTYudin2KEg2KfZhNi52YbZiNin2YYg?=  =?utf-8?B?2YTZhNiu2LXZiNi12YrZhw==?=</f>
        <v/>
      </c>
      <c r="D328" s="2" t="inlineStr">
        <is>
          <t>Hello! How can we help you?  Report قطعه 4 الشارع الاول : 99850928   Sent from my iPhone</t>
        </is>
      </c>
      <c r="E328" s="4" t="inlineStr">
        <is>
          <t>99850928</t>
        </is>
      </c>
    </row>
    <row r="329" ht="18" customHeight="1">
      <c r="A329" s="5" t="inlineStr">
        <is>
          <t>Saif Alajmi &lt;shalmsamh@gmail.com&gt;</t>
        </is>
      </c>
      <c r="B329" s="6" t="inlineStr">
        <is>
          <t>shalmsamh@gmail.com</t>
        </is>
      </c>
      <c r="C329" s="5" t="inlineStr"/>
      <c r="D329" s="5" t="inlineStr">
        <is>
          <t>Hello! How can we help you?  Report سيف حمد السوري : 55669550   ‫أُرسلت من الـ iPhone‬</t>
        </is>
      </c>
      <c r="E329" s="7" t="inlineStr">
        <is>
          <t>55669550</t>
        </is>
      </c>
    </row>
    <row r="330" ht="18" customHeight="1">
      <c r="A330" s="2" t="inlineStr">
        <is>
          <t>muneera almutairi &lt;muneeraalmutairi20@gmail.com&gt;</t>
        </is>
      </c>
      <c r="B330" s="3" t="inlineStr">
        <is>
          <t>muneeraalmutairi20@gmail.com</t>
        </is>
      </c>
      <c r="C330" s="2" t="inlineStr">
        <is>
          <t>Insult by name</t>
        </is>
      </c>
      <c r="D330" s="2" t="inlineStr">
        <is>
          <t>please report in menodagapp 🛑🛑🛑🛑﻿ Hello! How can we help you?  Report منيرة الدب- : 94006566   Sent from my iPhone</t>
        </is>
      </c>
      <c r="E330" s="4" t="inlineStr">
        <is>
          <t>94006566</t>
        </is>
      </c>
    </row>
    <row r="331" ht="18" customHeight="1">
      <c r="A331" s="5" t="inlineStr">
        <is>
          <t>saad alotaibi &lt;mskltk22@yahoo.com&gt;</t>
        </is>
      </c>
      <c r="B331" s="6" t="inlineStr">
        <is>
          <t>mskltk22@yahoo.com</t>
        </is>
      </c>
      <c r="C331" s="5">
        <f>?utf-8?B?2LfZhNioINi52KfYrNmEIA==?=</f>
        <v/>
      </c>
      <c r="D331" s="5" t="inlineStr">
        <is>
          <t xml:space="preserve">السلام عليكم شريت خط جديد اليوم و بحثت عن الرقم في برنامجكم و يبدو ان الرقم لبنت و فيه الفاظ عنصرية ، رجاءا حذف جميع الاسماء من هذا الرقم 50020166 وجعله جديد وشكراً  </t>
        </is>
      </c>
      <c r="E331" s="7" t="inlineStr">
        <is>
          <t>50020166</t>
        </is>
      </c>
    </row>
    <row r="332" ht="18" customHeight="1">
      <c r="A332" s="2" t="inlineStr">
        <is>
          <t>"Mohammad ....." &lt;piwr@hotmail.com&gt;</t>
        </is>
      </c>
      <c r="B332" s="3" t="inlineStr">
        <is>
          <t>piwr@hotmail.com</t>
        </is>
      </c>
      <c r="C332" s="2">
        <f>?utf-8?B?2LfZhNioINit2LDZgSDYsdmC2YU=?=</f>
        <v/>
      </c>
      <c r="D332" s="2" t="inlineStr">
        <is>
          <t xml:space="preserve">66116602  السلام عليكم، كل الاسامي الموجوده غلط ولا لها اي علاقه فيني.  وعلى فكرة كنت داعم لكم بالتبرع 4 شهور لما وقفوا البرنامج من جم سنة 🌹  تحياتي. </t>
        </is>
      </c>
      <c r="E332" s="4" t="inlineStr">
        <is>
          <t>66116602</t>
        </is>
      </c>
    </row>
    <row r="333" ht="18" customHeight="1">
      <c r="A333" s="5" t="inlineStr">
        <is>
          <t>A R &lt;hamany2002@icloud.com&gt;</t>
        </is>
      </c>
      <c r="B333" s="6" t="inlineStr">
        <is>
          <t>hamany2002@icloud.com</t>
        </is>
      </c>
      <c r="C333" s="5" t="inlineStr"/>
      <c r="D333" s="5" t="inlineStr">
        <is>
          <t>Hello! How can we help you?  Report كومار سايق ال-- : 67765502   Sent from my iPhone</t>
        </is>
      </c>
      <c r="E333" s="7" t="inlineStr">
        <is>
          <t>67765502</t>
        </is>
      </c>
    </row>
    <row r="334" ht="18" customHeight="1">
      <c r="A334" s="2" t="inlineStr">
        <is>
          <t>A R &lt;hamany2002@icloud.com&gt;</t>
        </is>
      </c>
      <c r="B334" s="3" t="inlineStr">
        <is>
          <t>hamany2002@icloud.com</t>
        </is>
      </c>
      <c r="C334" s="2" t="inlineStr"/>
      <c r="D334" s="2" t="inlineStr">
        <is>
          <t>Hello! How can we help you?  Report 3bdalr7man El36ar- : 67765502   Sent from my iPhone</t>
        </is>
      </c>
      <c r="E334" s="4" t="inlineStr">
        <is>
          <t>67765502</t>
        </is>
      </c>
    </row>
    <row r="335" ht="18" customHeight="1">
      <c r="A335" s="5" t="inlineStr">
        <is>
          <t>A R &lt;hamany2002@icloud.com&gt;</t>
        </is>
      </c>
      <c r="B335" s="6" t="inlineStr">
        <is>
          <t>hamany2002@icloud.com</t>
        </is>
      </c>
      <c r="C335" s="5" t="inlineStr"/>
      <c r="D335" s="5" t="inlineStr">
        <is>
          <t>Hello! How can we help you?  Report كومار سايق ال- : 67765502   Sent from my iPhone</t>
        </is>
      </c>
      <c r="E335" s="7" t="inlineStr">
        <is>
          <t>67765502</t>
        </is>
      </c>
    </row>
    <row r="336" ht="18" customHeight="1">
      <c r="A336" s="2" t="inlineStr">
        <is>
          <t>Shahad Ali &lt;klakchik@hotmail.com&gt;</t>
        </is>
      </c>
      <c r="B336" s="3" t="inlineStr">
        <is>
          <t>klakchik@hotmail.com</t>
        </is>
      </c>
      <c r="C336" s="2">
        <f>?utf-8?B?UmVwb3J0INi02YfYryDYrtin2YrZhtmHINiy2YjYrNmH2Kcg2YPYqNiz2Ycg?=  =?utf-8?B?2YXYrtmB2LEgOiA1MjUyNTkwNyAgUmVtb3ZlIHRoaXMgbmFtZSB1bmRlciB0?=  =?utf-8?B?aGlzIG51bWJlciAgIEl04oCZcyBpbnN1bHRpbmcgYW5kIGh1bWlsaWF0aW5n?=  =?utf-8?Q?!!?=</f>
        <v/>
      </c>
      <c r="D336" s="2" t="inlineStr">
        <is>
          <t xml:space="preserve">﻿ I didn’t receive any action of the request I asked !!! Can you proceed with this pls asap . Thx ﻿  Hello! How can we help you?  Report شهد خاينه زوجها كبسه مخفر : 52525907  Remove this name under this number  It’s insulting and humiliating!!  Pls remove this name from this number it’s again the rules Sent from my iPhone </t>
        </is>
      </c>
      <c r="E336" s="4" t="inlineStr">
        <is>
          <t>52525907</t>
        </is>
      </c>
    </row>
    <row r="337" ht="18" customHeight="1">
      <c r="A337" s="5" t="inlineStr">
        <is>
          <t>Shahad Ali &lt;klakchik@hotmail.com&gt;</t>
        </is>
      </c>
      <c r="B337" s="6" t="inlineStr">
        <is>
          <t>klakchik@hotmail.com</t>
        </is>
      </c>
      <c r="C337" s="5">
        <f>?utf-8?B?UmVwb3J0INi02YfYryBXaWZlIENoZWF0ZXIg2YPYqNiz2YcgOiA1MjUyNTkw?=  =?utf-8?B?NyBSZW1vdmUgdGhpcyBuYW1lIHVuZGVyIHRoaXMgbnVtYmVyICBJdOKAmXMg?=  =?utf-8?Q?insulting_and_humiliating!!_?=</f>
        <v/>
      </c>
      <c r="D337" s="5" t="inlineStr">
        <is>
          <t xml:space="preserve">﻿ I didn’t receive any action of the request I asked !!! Can you proceed with this pls asap . Thx ﻿  Hello! How can we help you?  Report شهد Wife Cheater كبسه : 52525907  Remove this name under this number  It’s insulting and humiliating!!  This is against the rules pls remove this name from this number. Sent from my iPhone </t>
        </is>
      </c>
      <c r="E337" s="7" t="inlineStr">
        <is>
          <t>52525907</t>
        </is>
      </c>
    </row>
    <row r="338" ht="18" customHeight="1">
      <c r="A338" s="2" t="inlineStr">
        <is>
          <t>Shahad Ali &lt;klakchik@hotmail.com&gt;</t>
        </is>
      </c>
      <c r="B338" s="3" t="inlineStr">
        <is>
          <t>klakchik@hotmail.com</t>
        </is>
      </c>
      <c r="C338" s="2">
        <f>?utf-8?B?UmVwb3J0INi02YfYr9iu2KfZitmG2Ycg2LLZiNis2YfYpyDZg9io2LPZhyA=?=  =?utf-8?B?2YXYrtmB2LEgOiA1MjUyNTkwNyAgUmVtb3ZlIHRoaXMgbmFtZSB1bmRlciB0?=  =?utf-8?B?aGlzIG51bWJlciAgSXTigJlzIGluc3VsdGluZyBhbmQgaHVtaWxpYXRpbmch?=  =?utf-8?Q?!_?=</f>
        <v/>
      </c>
      <c r="D338" s="2" t="inlineStr">
        <is>
          <t xml:space="preserve">﻿ I didn’t receive any action of the request I asked !!! Can you proceed with this pls asap . Thx ﻿  Hello! How can we help you?  Report شهد خاينه زوجها كبسه مخفر : 52525907  Report شهدخاينه زوجها كبسه مخفر : 52525907  Remove this name under this number It’s insulting and humiliating!!  Pls remove this name from this number it’s again the rules Sent from my iPhone </t>
        </is>
      </c>
      <c r="E338" s="4" t="inlineStr">
        <is>
          <t>52525907</t>
        </is>
      </c>
    </row>
    <row r="339" ht="18" customHeight="1">
      <c r="A339" s="5" t="inlineStr">
        <is>
          <t>Shahad Ali &lt;klakchik@hotmail.com&gt;</t>
        </is>
      </c>
      <c r="B339" s="6" t="inlineStr">
        <is>
          <t>klakchik@hotmail.com</t>
        </is>
      </c>
      <c r="C339" s="5">
        <f>?utf-8?B?UmVwb3J0INi02YfYr9iu2KfZitmG2Ycg2LLZiNis2YfYpyDZg9io2LPZhyA=?=  =?utf-8?B?2YXYrtmB2LEgOiA1MjUyNTkwNyAgUmVtb3ZlIHRoaXMgbmFtZSB1bmRlciB0?=  =?utf-8?B?aGlzIG51bWJlciAgSXTigJlzIGluc3VsdGluZyBhbmQgaHVtaWxpYXRpbmch?=  =?utf-8?Q?!_?=</f>
        <v/>
      </c>
      <c r="D339" s="5" t="inlineStr">
        <is>
          <t xml:space="preserve">I didn’t receive any action of the request I asked !!! Can you proceed with this pls asap . Thx ﻿  Hello! How can we help you?  Report شهدخاينه زوجها كبسه مخفر : 52525907  Remove this name under this number It’s insulting and humiliating!! This is against the rules Sent from my iPhone </t>
        </is>
      </c>
      <c r="E339" s="7" t="inlineStr">
        <is>
          <t>52525907</t>
        </is>
      </c>
    </row>
    <row r="340" ht="18" customHeight="1">
      <c r="A340" s="2" t="inlineStr">
        <is>
          <t>Hassan Fawzy &lt;sir.commerce@yahoo.com&gt;</t>
        </is>
      </c>
      <c r="B340" s="3" t="inlineStr">
        <is>
          <t>sir.commerce@yahoo.com</t>
        </is>
      </c>
      <c r="C340" s="2" t="inlineStr">
        <is>
          <t>Offense name</t>
        </is>
      </c>
      <c r="D340" s="2" t="inlineStr">
        <is>
          <t>Hello! How can we help you?    Kindly remove the below name     Report اوسخ مخلوق على الارض : 66547716   Sent from my iPhone</t>
        </is>
      </c>
      <c r="E340" s="4" t="inlineStr">
        <is>
          <t>66547716</t>
        </is>
      </c>
    </row>
    <row r="341" ht="18" customHeight="1">
      <c r="A341" s="5" t="inlineStr">
        <is>
          <t>Jrrah Otbi &lt;jrrahotb1@icloud.com&gt;</t>
        </is>
      </c>
      <c r="B341" s="6" t="inlineStr">
        <is>
          <t>jrrahotb1@icloud.com</t>
        </is>
      </c>
      <c r="C341" s="5" t="inlineStr"/>
      <c r="D341" s="5" t="inlineStr">
        <is>
          <t>Hello! How can we help you?  Report كنت مآضي في حياتي : 66672227   ‫أُرسلت من الـ iPhone‬</t>
        </is>
      </c>
      <c r="E341" s="7" t="inlineStr">
        <is>
          <t>66672227</t>
        </is>
      </c>
    </row>
    <row r="342" ht="18" customHeight="1">
      <c r="A342" s="2" t="inlineStr">
        <is>
          <t>Jrrah Otbi &lt;jrrahotb1@icloud.com&gt;</t>
        </is>
      </c>
      <c r="B342" s="3" t="inlineStr">
        <is>
          <t>jrrahotb1@icloud.com</t>
        </is>
      </c>
      <c r="C342" s="2" t="inlineStr"/>
      <c r="D342" s="2" t="inlineStr">
        <is>
          <t>Hello! How can we help you?  Report جموح العتيبي- : 66672227   ‫أُرسلت من الـ iPhone‬</t>
        </is>
      </c>
      <c r="E342" s="4" t="inlineStr">
        <is>
          <t>66672227</t>
        </is>
      </c>
    </row>
    <row r="343" ht="18" customHeight="1">
      <c r="A343" s="5" t="inlineStr">
        <is>
          <t>Jrrah Otbi &lt;jrrahotb1@icloud.com&gt;</t>
        </is>
      </c>
      <c r="B343" s="6" t="inlineStr">
        <is>
          <t>jrrahotb1@icloud.com</t>
        </is>
      </c>
      <c r="C343" s="5" t="inlineStr"/>
      <c r="D343" s="5" t="inlineStr">
        <is>
          <t>Hello! How can we help you?  Report Jojo- : 66672227   ‫أُرسلت من الـ iPhone‬</t>
        </is>
      </c>
      <c r="E343" s="7" t="inlineStr">
        <is>
          <t>66672227</t>
        </is>
      </c>
    </row>
    <row r="344" ht="18" customHeight="1">
      <c r="A344" s="2" t="inlineStr">
        <is>
          <t>fahad al-shualah &lt;al_shualah65@hotmail.com&gt;</t>
        </is>
      </c>
      <c r="B344" s="3" t="inlineStr">
        <is>
          <t>al_shualah65@hotmail.com</t>
        </is>
      </c>
      <c r="C344" s="2" t="inlineStr"/>
      <c r="D344" s="2" t="inlineStr">
        <is>
          <t xml:space="preserve">Hello! How can we help you?  ‫أُرسلت السلام عليكم دفعت الرسوم لحجب رقمي 66884644 ولكن لم يتم حجب الرقممن الـ iPhone‬ </t>
        </is>
      </c>
      <c r="E344" s="4" t="inlineStr">
        <is>
          <t>66884644</t>
        </is>
      </c>
    </row>
    <row r="345" ht="18" customHeight="1">
      <c r="A345" s="5" t="inlineStr">
        <is>
          <t>fajer hamad &lt;faldughailbi@outlook.com&gt;</t>
        </is>
      </c>
      <c r="B345" s="6" t="inlineStr">
        <is>
          <t>faldughailbi@outlook.com</t>
        </is>
      </c>
      <c r="C345" s="5">
        <f>?utf-8?B?2K3YsNmBINin2YTYsdmC2YU=?=</f>
        <v/>
      </c>
      <c r="D345" s="5" t="inlineStr">
        <is>
          <t xml:space="preserve">Hello! How can we help you?  Report فجر احمد كبسوله 12408 : 67009958  Sent from my iPhone </t>
        </is>
      </c>
      <c r="E345" s="7" t="inlineStr">
        <is>
          <t>67009958</t>
        </is>
      </c>
    </row>
    <row r="346" ht="18" customHeight="1">
      <c r="A346" s="2" t="inlineStr">
        <is>
          <t>fajer hamad &lt;faldughailbi@outlook.com&gt;</t>
        </is>
      </c>
      <c r="B346" s="3" t="inlineStr">
        <is>
          <t>faldughailbi@outlook.com</t>
        </is>
      </c>
      <c r="C346" s="2">
        <f>?utf-8?B?2K3YsNmBINin2YTYsdmC2YU=?=</f>
        <v/>
      </c>
      <c r="D346" s="2" t="inlineStr">
        <is>
          <t xml:space="preserve">Hello! How can we help you?  Report وجار المزرعه : 67009958  Sent from my iPhone </t>
        </is>
      </c>
      <c r="E346" s="4" t="inlineStr">
        <is>
          <t>67009958</t>
        </is>
      </c>
    </row>
    <row r="347" ht="18" customHeight="1">
      <c r="A347" s="5" t="inlineStr">
        <is>
          <t>Mohammed Alhatlany &lt;moh.alhatlany@gmail.com&gt;</t>
        </is>
      </c>
      <c r="B347" s="6" t="inlineStr">
        <is>
          <t>moh.alhatlany@gmail.com</t>
        </is>
      </c>
      <c r="C347" s="5" t="inlineStr"/>
      <c r="D347" s="5" t="inlineStr">
        <is>
          <t>Hello! How can we help you?  Report ابو فارس الرشيدي زوج وزوجه وطفل واحد عايز دور ابو : 99591989   ‫أُرسلت من الـ iPhone‬</t>
        </is>
      </c>
      <c r="E347" s="7" t="inlineStr">
        <is>
          <t>99591989</t>
        </is>
      </c>
    </row>
    <row r="348" ht="18" customHeight="1">
      <c r="A348" s="2" t="inlineStr">
        <is>
          <t>Mohammed Alhatlany &lt;moh.alhatlany@gmail.com&gt;</t>
        </is>
      </c>
      <c r="B348" s="3" t="inlineStr">
        <is>
          <t>moh.alhatlany@gmail.com</t>
        </is>
      </c>
      <c r="C348" s="2" t="inlineStr"/>
      <c r="D348" s="2" t="inlineStr">
        <is>
          <t>Hello! How can we help you?  Report اا397 محمد الرشيدى طالب دور 1000 : 99591989   ‫أُرسلت من الـ iPhone‬</t>
        </is>
      </c>
      <c r="E348" s="4" t="inlineStr">
        <is>
          <t>99591989</t>
        </is>
      </c>
    </row>
    <row r="349" ht="18" customHeight="1">
      <c r="A349" s="5" t="inlineStr">
        <is>
          <t>Naser Refaei &lt;nasar_577@outlook.com&gt;</t>
        </is>
      </c>
      <c r="B349" s="6" t="inlineStr">
        <is>
          <t>nasar_577@outlook.com</t>
        </is>
      </c>
      <c r="C349" s="5">
        <f>?utf-8?B?2KfYs9mFINmE2YrYsyDZhNmHINi12YTYqSDZgdmK2YbZiiDYjCDYtdin2K0=?=  =?utf-8?B?2Kgg2KfZhNix2YLZhSDYp9mG2Kcg2LTYrti1INii2K7YsQ==?=</f>
        <v/>
      </c>
      <c r="D349" s="5" t="inlineStr">
        <is>
          <t xml:space="preserve">Hello! How can we help you?  Report خزامه السالميه 11- : 94448771  ‫أُرسلت من الـ iPhone‬ </t>
        </is>
      </c>
      <c r="E349" s="7" t="inlineStr">
        <is>
          <t>94448771</t>
        </is>
      </c>
    </row>
    <row r="350" ht="18" customHeight="1">
      <c r="A350" s="2" t="inlineStr">
        <is>
          <t>Naser Refaei &lt;nasar_577@outlook.com&gt;</t>
        </is>
      </c>
      <c r="B350" s="3" t="inlineStr">
        <is>
          <t>nasar_577@outlook.com</t>
        </is>
      </c>
      <c r="C350" s="2">
        <f>?utf-8?B?2KfYs9mFINmE2YrYsyDZhNmHINi12YTYqSDZgdmK2YbZiiDYp9mG2Kcg2LQ=?=  =?utf-8?B?2K7YtSDYotiu2LE=?=</f>
        <v/>
      </c>
      <c r="D350" s="2" t="inlineStr">
        <is>
          <t xml:space="preserve">Hello! How can we help you?  Report احلام صاحبة براك- : 94448771  ‫أُرسلت من الـ iPhone‬ </t>
        </is>
      </c>
      <c r="E350" s="4" t="inlineStr">
        <is>
          <t>94448771</t>
        </is>
      </c>
    </row>
    <row r="351" ht="18" customHeight="1">
      <c r="A351" s="5" t="inlineStr">
        <is>
          <t>mabajmi@gmail.com</t>
        </is>
      </c>
      <c r="B351" s="6" t="inlineStr">
        <is>
          <t>mabajmi@gmail.com</t>
        </is>
      </c>
      <c r="C351" s="5" t="inlineStr"/>
      <c r="D351" s="5" t="inlineStr">
        <is>
          <t>Hello! How can we help you?  Report الحربي ✋ : 55368836   ‫أُرسلت من الـ iPhone‬</t>
        </is>
      </c>
      <c r="E351" s="7" t="inlineStr">
        <is>
          <t>55368836</t>
        </is>
      </c>
    </row>
    <row r="352" ht="18" customHeight="1">
      <c r="A352" s="2" t="inlineStr">
        <is>
          <t>mabajmi@gmail.com</t>
        </is>
      </c>
      <c r="B352" s="3" t="inlineStr">
        <is>
          <t>mabajmi@gmail.com</t>
        </is>
      </c>
      <c r="C352" s="2" t="inlineStr"/>
      <c r="D352" s="2" t="inlineStr">
        <is>
          <t>Hello! How can we help you?  Report Mouthyaa : 55368836   ‫أُرسلت من الـ iPhone‬</t>
        </is>
      </c>
      <c r="E352" s="4" t="inlineStr">
        <is>
          <t>55368836</t>
        </is>
      </c>
    </row>
    <row r="353" ht="18" customHeight="1">
      <c r="A353" s="5" t="inlineStr">
        <is>
          <t>mabajmi@gmail.com</t>
        </is>
      </c>
      <c r="B353" s="6" t="inlineStr">
        <is>
          <t>mabajmi@gmail.com</t>
        </is>
      </c>
      <c r="C353" s="5" t="inlineStr"/>
      <c r="D353" s="5" t="inlineStr">
        <is>
          <t>Hello! How can we help you?  Report ~Unknown~37 : 55368836   ‫أُرسلت من الـ iPhone‬</t>
        </is>
      </c>
      <c r="E353" s="7" t="inlineStr">
        <is>
          <t>55368836</t>
        </is>
      </c>
    </row>
    <row r="354" ht="18" customHeight="1">
      <c r="A354" s="2" t="inlineStr">
        <is>
          <t>mabajmi@gmail.com</t>
        </is>
      </c>
      <c r="B354" s="3" t="inlineStr">
        <is>
          <t>mabajmi@gmail.com</t>
        </is>
      </c>
      <c r="C354" s="2" t="inlineStr"/>
      <c r="D354" s="2" t="inlineStr">
        <is>
          <t>Hello! How can we help you?  Report عبدالله حربي : 55368836   ‫أُرسلت من الـ iPhone‬</t>
        </is>
      </c>
      <c r="E354" s="4" t="inlineStr">
        <is>
          <t>55368836</t>
        </is>
      </c>
    </row>
    <row r="355" ht="18" customHeight="1">
      <c r="A355" s="5" t="inlineStr">
        <is>
          <t>mabajmi@gmail.com</t>
        </is>
      </c>
      <c r="B355" s="6" t="inlineStr">
        <is>
          <t>mabajmi@gmail.com</t>
        </is>
      </c>
      <c r="C355" s="5" t="inlineStr"/>
      <c r="D355" s="5" t="inlineStr">
        <is>
          <t>Hello! How can we help you?  Report عبدالله سلطان الجلهمي ولد اختي : 55368836   ‫أُرسلت من الـ iPhone‬</t>
        </is>
      </c>
      <c r="E355" s="7" t="inlineStr">
        <is>
          <t>55368836</t>
        </is>
      </c>
    </row>
    <row r="356" ht="18" customHeight="1">
      <c r="A356" s="2" t="inlineStr">
        <is>
          <t>mabajmi@gmail.com</t>
        </is>
      </c>
      <c r="B356" s="3" t="inlineStr">
        <is>
          <t>mabajmi@gmail.com</t>
        </is>
      </c>
      <c r="C356" s="2" t="inlineStr"/>
      <c r="D356" s="2" t="inlineStr">
        <is>
          <t>Hello! How can we help you?  Report عبدالله جارييييي : 55368836   ‫أُرسلت من الـ iPhone‬</t>
        </is>
      </c>
      <c r="E356" s="4" t="inlineStr">
        <is>
          <t>55368836</t>
        </is>
      </c>
    </row>
    <row r="357" ht="18" customHeight="1">
      <c r="A357" s="5" t="inlineStr">
        <is>
          <t>mabajmi@gmail.com</t>
        </is>
      </c>
      <c r="B357" s="6" t="inlineStr">
        <is>
          <t>mabajmi@gmail.com</t>
        </is>
      </c>
      <c r="C357" s="5" t="inlineStr"/>
      <c r="D357" s="5" t="inlineStr">
        <is>
          <t>Hello! How can we help you?  Report موضيي : 55368836   ‫أُرسلت من الـ iPhone‬</t>
        </is>
      </c>
      <c r="E357" s="7" t="inlineStr">
        <is>
          <t>55368836</t>
        </is>
      </c>
    </row>
    <row r="358" ht="18" customHeight="1">
      <c r="A358" s="2" t="inlineStr">
        <is>
          <t>mabajmi@gmail.com</t>
        </is>
      </c>
      <c r="B358" s="3" t="inlineStr">
        <is>
          <t>mabajmi@gmail.com</t>
        </is>
      </c>
      <c r="C358" s="2" t="inlineStr"/>
      <c r="D358" s="2" t="inlineStr">
        <is>
          <t>Hello! How can we help you?  Report عبدالله اخو سعود : 55368836   ‫أُرسلت من الـ iPhone‬</t>
        </is>
      </c>
      <c r="E358" s="4" t="inlineStr">
        <is>
          <t>55368836</t>
        </is>
      </c>
    </row>
    <row r="359" ht="18" customHeight="1">
      <c r="A359" s="5" t="inlineStr">
        <is>
          <t>mabajmi@gmail.com</t>
        </is>
      </c>
      <c r="B359" s="6" t="inlineStr">
        <is>
          <t>mabajmi@gmail.com</t>
        </is>
      </c>
      <c r="C359" s="5" t="inlineStr"/>
      <c r="D359" s="5" t="inlineStr">
        <is>
          <t>Hello! How can we help you?  Report عبدالله الحربي2 : 55368836   ‫أُرسلت من الـ iPhone‬</t>
        </is>
      </c>
      <c r="E359" s="7" t="inlineStr">
        <is>
          <t>55368836</t>
        </is>
      </c>
    </row>
    <row r="360" ht="18" customHeight="1">
      <c r="A360" s="2" t="inlineStr">
        <is>
          <t>mabajmi@gmail.com</t>
        </is>
      </c>
      <c r="B360" s="3" t="inlineStr">
        <is>
          <t>mabajmi@gmail.com</t>
        </is>
      </c>
      <c r="C360" s="2" t="inlineStr"/>
      <c r="D360" s="2" t="inlineStr">
        <is>
          <t>Hello! How can we help you?  Report 3abdalah brather . : 55368836   ‫أُرسلت من الـ iPhone‬</t>
        </is>
      </c>
      <c r="E360" s="4" t="inlineStr">
        <is>
          <t>55368836</t>
        </is>
      </c>
    </row>
    <row r="361" ht="18" customHeight="1">
      <c r="A361" s="5" t="inlineStr">
        <is>
          <t>mabajmi@gmail.com</t>
        </is>
      </c>
      <c r="B361" s="6" t="inlineStr">
        <is>
          <t>mabajmi@gmail.com</t>
        </is>
      </c>
      <c r="C361" s="5" t="inlineStr"/>
      <c r="D361" s="5" t="inlineStr">
        <is>
          <t>Hello! How can we help you?  Report عبدالله سلطان الحربي : 55368836   ‫أُرسلت من الـ iPhone‬</t>
        </is>
      </c>
      <c r="E361" s="7" t="inlineStr">
        <is>
          <t>55368836</t>
        </is>
      </c>
    </row>
    <row r="362" ht="18" customHeight="1">
      <c r="A362" s="2" t="inlineStr">
        <is>
          <t>mabajmi@gmail.com</t>
        </is>
      </c>
      <c r="B362" s="3" t="inlineStr">
        <is>
          <t>mabajmi@gmail.com</t>
        </is>
      </c>
      <c r="C362" s="2" t="inlineStr"/>
      <c r="D362" s="2" t="inlineStr">
        <is>
          <t>Hello! How can we help you?  Report عبدالله سلطان : 55368836   ‫أُرسلت من الـ iPhone‬</t>
        </is>
      </c>
      <c r="E362" s="4" t="inlineStr">
        <is>
          <t>55368836</t>
        </is>
      </c>
    </row>
    <row r="363" ht="18" customHeight="1">
      <c r="A363" s="5" t="inlineStr">
        <is>
          <t>mabajmi@gmail.com</t>
        </is>
      </c>
      <c r="B363" s="6" t="inlineStr">
        <is>
          <t>mabajmi@gmail.com</t>
        </is>
      </c>
      <c r="C363" s="5" t="inlineStr"/>
      <c r="D363" s="5" t="inlineStr">
        <is>
          <t>Hello! How can we help you?  Report عبدالله الحربي : 55368836   ‫أُرسلت من الـ iPhone‬</t>
        </is>
      </c>
      <c r="E363" s="7" t="inlineStr">
        <is>
          <t>55368836</t>
        </is>
      </c>
    </row>
    <row r="364" ht="18" customHeight="1">
      <c r="A364" s="2" t="inlineStr">
        <is>
          <t>mabajmi@gmail.com</t>
        </is>
      </c>
      <c r="B364" s="3" t="inlineStr">
        <is>
          <t>mabajmi@gmail.com</t>
        </is>
      </c>
      <c r="C364" s="2" t="inlineStr"/>
      <c r="D364" s="2" t="inlineStr">
        <is>
          <t>Hello! How can we help you?  Report موفي : 55368836   ‫أُرسلت من الـ iPhone‬</t>
        </is>
      </c>
      <c r="E364" s="4" t="inlineStr">
        <is>
          <t>55368836</t>
        </is>
      </c>
    </row>
    <row r="365" ht="18" customHeight="1">
      <c r="A365" s="5" t="inlineStr">
        <is>
          <t>mabajmi@gmail.com</t>
        </is>
      </c>
      <c r="B365" s="6" t="inlineStr">
        <is>
          <t>mabajmi@gmail.com</t>
        </is>
      </c>
      <c r="C365" s="5" t="inlineStr"/>
      <c r="D365" s="5" t="inlineStr">
        <is>
          <t>Hello! How can we help you?  Report عبدالله سلطان الجلهمي : 55368836   ‫أُرسلت من الـ iPhone‬</t>
        </is>
      </c>
      <c r="E365" s="7" t="inlineStr">
        <is>
          <t>55368836</t>
        </is>
      </c>
    </row>
    <row r="366" ht="18" customHeight="1">
      <c r="A366" s="2" t="inlineStr">
        <is>
          <t>mabajmi@gmail.com</t>
        </is>
      </c>
      <c r="B366" s="3" t="inlineStr">
        <is>
          <t>mabajmi@gmail.com</t>
        </is>
      </c>
      <c r="C366" s="2" t="inlineStr"/>
      <c r="D366" s="2" t="inlineStr">
        <is>
          <t>Hello! How can we help you?  Report مسؤل السيارات منصؤر : 55368836   ‫أُرسلت من الـ iPhone‬</t>
        </is>
      </c>
      <c r="E366" s="4" t="inlineStr">
        <is>
          <t>55368836</t>
        </is>
      </c>
    </row>
    <row r="367" ht="18" customHeight="1">
      <c r="A367" s="5" t="inlineStr">
        <is>
          <t>mabajmi@gmail.com</t>
        </is>
      </c>
      <c r="B367" s="6" t="inlineStr">
        <is>
          <t>mabajmi@gmail.com</t>
        </is>
      </c>
      <c r="C367" s="5" t="inlineStr"/>
      <c r="D367" s="5" t="inlineStr">
        <is>
          <t>Hello! How can we help you?  Report Moudhi Albarrak- : 55368836   ‫أُرسلت من الـ iPhone‬</t>
        </is>
      </c>
      <c r="E367" s="7" t="inlineStr">
        <is>
          <t>55368836</t>
        </is>
      </c>
    </row>
    <row r="368" ht="18" customHeight="1">
      <c r="A368" s="2" t="inlineStr">
        <is>
          <t>mabajmi@gmail.com</t>
        </is>
      </c>
      <c r="B368" s="3" t="inlineStr">
        <is>
          <t>mabajmi@gmail.com</t>
        </is>
      </c>
      <c r="C368" s="2" t="inlineStr"/>
      <c r="D368" s="2" t="inlineStr">
        <is>
          <t>Hello! How can we help you?  Report موضي-علي : 55368836   ‫أُرسلت من الـ iPhone‬</t>
        </is>
      </c>
      <c r="E368" s="4" t="inlineStr">
        <is>
          <t>55368836</t>
        </is>
      </c>
    </row>
    <row r="369" ht="18" customHeight="1">
      <c r="A369" s="5" t="inlineStr">
        <is>
          <t>mabajmi@gmail.com</t>
        </is>
      </c>
      <c r="B369" s="6" t="inlineStr">
        <is>
          <t>mabajmi@gmail.com</t>
        </is>
      </c>
      <c r="C369" s="5" t="inlineStr"/>
      <c r="D369" s="5" t="inlineStr">
        <is>
          <t>Hello! How can we help you?  Report مراكش منصور- : 55368836   ‫أُرسلت من الـ iPhone‬</t>
        </is>
      </c>
      <c r="E369" s="7" t="inlineStr">
        <is>
          <t>55368836</t>
        </is>
      </c>
    </row>
    <row r="370" ht="18" customHeight="1">
      <c r="A370" s="2" t="inlineStr">
        <is>
          <t>mabajmi@gmail.com</t>
        </is>
      </c>
      <c r="B370" s="3" t="inlineStr">
        <is>
          <t>mabajmi@gmail.com</t>
        </is>
      </c>
      <c r="C370" s="2" t="inlineStr"/>
      <c r="D370" s="2" t="inlineStr">
        <is>
          <t>Hello! How can we help you?  Report موضي علي 2- : 55368836   ‫أُرسلت من الـ iPhone‬</t>
        </is>
      </c>
      <c r="E370" s="4" t="inlineStr">
        <is>
          <t>55368836</t>
        </is>
      </c>
    </row>
    <row r="371" ht="18" customHeight="1">
      <c r="A371" s="5" t="inlineStr">
        <is>
          <t>mabajmi@gmail.com</t>
        </is>
      </c>
      <c r="B371" s="6" t="inlineStr">
        <is>
          <t>mabajmi@gmail.com</t>
        </is>
      </c>
      <c r="C371" s="5" t="inlineStr"/>
      <c r="D371" s="5" t="inlineStr">
        <is>
          <t>Hello! How can we help you?  Report اليمني- : 55368836   ‫أُرسلت من الـ iPhone‬</t>
        </is>
      </c>
      <c r="E371" s="7" t="inlineStr">
        <is>
          <t>55368836</t>
        </is>
      </c>
    </row>
    <row r="372" ht="18" customHeight="1">
      <c r="A372" s="2" t="inlineStr">
        <is>
          <t>mabajmi@gmail.com</t>
        </is>
      </c>
      <c r="B372" s="3" t="inlineStr">
        <is>
          <t>mabajmi@gmail.com</t>
        </is>
      </c>
      <c r="C372" s="2" t="inlineStr"/>
      <c r="D372" s="2" t="inlineStr">
        <is>
          <t>Hello! How can we help you?  Report محمد علي رنج- : 55368836   ‫أُرسلت من الـ iPhone‬</t>
        </is>
      </c>
      <c r="E372" s="4" t="inlineStr">
        <is>
          <t>55368836</t>
        </is>
      </c>
    </row>
    <row r="373" ht="18" customHeight="1">
      <c r="A373" s="5" t="inlineStr">
        <is>
          <t>mabajmi@gmail.com</t>
        </is>
      </c>
      <c r="B373" s="6" t="inlineStr">
        <is>
          <t>mabajmi@gmail.com</t>
        </is>
      </c>
      <c r="C373" s="5" t="inlineStr"/>
      <c r="D373" s="5" t="inlineStr">
        <is>
          <t>Hello! How can we help you?  Report Mothy Elbrak- : 55368836   ‫أُرسلت من الـ iPhone‬</t>
        </is>
      </c>
      <c r="E373" s="7" t="inlineStr">
        <is>
          <t>55368836</t>
        </is>
      </c>
    </row>
    <row r="374" ht="18" customHeight="1">
      <c r="A374" s="2" t="inlineStr">
        <is>
          <t>mabajmi@gmail.com</t>
        </is>
      </c>
      <c r="B374" s="3" t="inlineStr">
        <is>
          <t>mabajmi@gmail.com</t>
        </is>
      </c>
      <c r="C374" s="2" t="inlineStr"/>
      <c r="D374" s="2" t="inlineStr">
        <is>
          <t>Hello! How can we help you?  Report موضي علي- : 55368836   ‫أُرسلت من الـ iPhone‬</t>
        </is>
      </c>
      <c r="E374" s="4" t="inlineStr">
        <is>
          <t>55368836</t>
        </is>
      </c>
    </row>
    <row r="375" ht="18" customHeight="1">
      <c r="A375" s="5" t="inlineStr">
        <is>
          <t>mabajmi@gmail.com</t>
        </is>
      </c>
      <c r="B375" s="6" t="inlineStr">
        <is>
          <t>mabajmi@gmail.com</t>
        </is>
      </c>
      <c r="C375" s="5" t="inlineStr"/>
      <c r="D375" s="5" t="inlineStr">
        <is>
          <t>Hello! How can we help you?  Report موضي ك10 ص ناصر- : 55368836   ‫أُرسلت من الـ iPhone‬</t>
        </is>
      </c>
      <c r="E375" s="7" t="inlineStr">
        <is>
          <t>55368836</t>
        </is>
      </c>
    </row>
    <row r="376" ht="18" customHeight="1">
      <c r="A376" s="2" t="inlineStr">
        <is>
          <t>mabajmi@gmail.com</t>
        </is>
      </c>
      <c r="B376" s="3" t="inlineStr">
        <is>
          <t>mabajmi@gmail.com</t>
        </is>
      </c>
      <c r="C376" s="2" t="inlineStr"/>
      <c r="D376" s="2" t="inlineStr">
        <is>
          <t>Hello! How can we help you?  Report مـوضـي الـبـراك ♡- : 55368836   ‫أُرسلت من الـ iPhone‬</t>
        </is>
      </c>
      <c r="E376" s="4" t="inlineStr">
        <is>
          <t>55368836</t>
        </is>
      </c>
    </row>
    <row r="377" ht="18" customHeight="1">
      <c r="A377" s="5" t="inlineStr">
        <is>
          <t>mabajmi@gmail.com</t>
        </is>
      </c>
      <c r="B377" s="6" t="inlineStr">
        <is>
          <t>mabajmi@gmail.com</t>
        </is>
      </c>
      <c r="C377" s="5" t="inlineStr"/>
      <c r="D377" s="5" t="inlineStr">
        <is>
          <t>Hello! How can we help you?  Report R- : 65922668   ‫أُرسلت من الـ iPhone‬</t>
        </is>
      </c>
      <c r="E377" s="7" t="inlineStr">
        <is>
          <t>65922668</t>
        </is>
      </c>
    </row>
    <row r="378" ht="18" customHeight="1">
      <c r="A378" s="2" t="inlineStr">
        <is>
          <t>mabajmi@gmail.com</t>
        </is>
      </c>
      <c r="B378" s="3" t="inlineStr">
        <is>
          <t>mabajmi@gmail.com</t>
        </is>
      </c>
      <c r="C378" s="2" t="inlineStr"/>
      <c r="D378" s="2" t="inlineStr">
        <is>
          <t>Hello! How can we help you?  Report ام عبدالله اولي : 65922668   ‫أُرسلت من الـ iPhone‬</t>
        </is>
      </c>
      <c r="E378" s="4" t="inlineStr">
        <is>
          <t>65922668</t>
        </is>
      </c>
    </row>
    <row r="379" ht="18" customHeight="1">
      <c r="A379" s="5" t="inlineStr">
        <is>
          <t>mabajmi@gmail.com</t>
        </is>
      </c>
      <c r="B379" s="6" t="inlineStr">
        <is>
          <t>mabajmi@gmail.com</t>
        </is>
      </c>
      <c r="C379" s="5" t="inlineStr"/>
      <c r="D379" s="5" t="inlineStr">
        <is>
          <t>Hello! How can we help you?  Report (عروض4) : 65922668   ‫أُرسلت من الـ iPhone‬</t>
        </is>
      </c>
      <c r="E379" s="7" t="inlineStr">
        <is>
          <t>65922668</t>
        </is>
      </c>
    </row>
    <row r="380" ht="18" customHeight="1">
      <c r="A380" s="2" t="inlineStr">
        <is>
          <t>mabajmi@gmail.com</t>
        </is>
      </c>
      <c r="B380" s="3" t="inlineStr">
        <is>
          <t>mabajmi@gmail.com</t>
        </is>
      </c>
      <c r="C380" s="2" t="inlineStr"/>
      <c r="D380" s="2" t="inlineStr">
        <is>
          <t>Hello! How can we help you?  Report الصباحيه الخميس الساعه 6 : 65922668   ‫أُرسلت من الـ iPhone‬</t>
        </is>
      </c>
      <c r="E380" s="4" t="inlineStr">
        <is>
          <t>65922668</t>
        </is>
      </c>
    </row>
    <row r="381" ht="18" customHeight="1">
      <c r="A381" s="5" t="inlineStr">
        <is>
          <t>mabajmi@gmail.com</t>
        </is>
      </c>
      <c r="B381" s="6" t="inlineStr">
        <is>
          <t>mabajmi@gmail.com</t>
        </is>
      </c>
      <c r="C381" s="5" t="inlineStr"/>
      <c r="D381" s="5" t="inlineStr">
        <is>
          <t>Hello! How can we help you?  Report المنقف : 65922668   ‫أُرسلت من الـ iPhone‬</t>
        </is>
      </c>
      <c r="E381" s="7" t="inlineStr">
        <is>
          <t>65922668</t>
        </is>
      </c>
    </row>
    <row r="382" ht="18" customHeight="1">
      <c r="A382" s="2" t="inlineStr">
        <is>
          <t>mabajmi@gmail.com</t>
        </is>
      </c>
      <c r="B382" s="3" t="inlineStr">
        <is>
          <t>mabajmi@gmail.com</t>
        </is>
      </c>
      <c r="C382" s="2" t="inlineStr"/>
      <c r="D382" s="2" t="inlineStr">
        <is>
          <t>Hello! How can we help you?  Report مشاعل : 99875711   ‫أُرسلت من الـ iPhone‬</t>
        </is>
      </c>
      <c r="E382" s="4" t="inlineStr">
        <is>
          <t>99875711</t>
        </is>
      </c>
    </row>
    <row r="383" ht="18" customHeight="1">
      <c r="A383" s="5" t="inlineStr">
        <is>
          <t>mabajmi@gmail.com</t>
        </is>
      </c>
      <c r="B383" s="6" t="inlineStr">
        <is>
          <t>mabajmi@gmail.com</t>
        </is>
      </c>
      <c r="C383" s="5" t="inlineStr"/>
      <c r="D383" s="5" t="inlineStr">
        <is>
          <t>Hello! How can we help you?  Report ا- : 60008980   ‫أُرسلت من الـ iPhone‬</t>
        </is>
      </c>
      <c r="E383" s="7" t="inlineStr">
        <is>
          <t>60008980</t>
        </is>
      </c>
    </row>
    <row r="384" ht="18" customHeight="1">
      <c r="A384" s="2" t="inlineStr">
        <is>
          <t>mabajmi@gmail.com</t>
        </is>
      </c>
      <c r="B384" s="3" t="inlineStr">
        <is>
          <t>mabajmi@gmail.com</t>
        </is>
      </c>
      <c r="C384" s="2" t="inlineStr"/>
      <c r="D384" s="2" t="inlineStr">
        <is>
          <t>Hello! How can we help you?  Report مضيع : 60008980   ‫أُرسلت من الـ iPhone‬</t>
        </is>
      </c>
      <c r="E384" s="4" t="inlineStr">
        <is>
          <t>60008980</t>
        </is>
      </c>
    </row>
    <row r="385" ht="18" customHeight="1">
      <c r="A385" s="5" t="inlineStr">
        <is>
          <t>mabajmi@gmail.com</t>
        </is>
      </c>
      <c r="B385" s="6" t="inlineStr">
        <is>
          <t>mabajmi@gmail.com</t>
        </is>
      </c>
      <c r="C385" s="5" t="inlineStr"/>
      <c r="D385" s="5" t="inlineStr">
        <is>
          <t>Hello! How can we help you?  Report لمبه 4- : 60008980   ‫أُرسلت من الـ iPhone‬</t>
        </is>
      </c>
      <c r="E385" s="7" t="inlineStr">
        <is>
          <t>60008980</t>
        </is>
      </c>
    </row>
    <row r="386" ht="18" customHeight="1">
      <c r="A386" s="2" t="inlineStr">
        <is>
          <t>mabajmi@gmail.com</t>
        </is>
      </c>
      <c r="B386" s="3" t="inlineStr">
        <is>
          <t>mabajmi@gmail.com</t>
        </is>
      </c>
      <c r="C386" s="2" t="inlineStr"/>
      <c r="D386" s="2" t="inlineStr">
        <is>
          <t>Hello! How can we help you?  Report نطاطيه 30- : 60008980   ‫أُرسلت من الـ iPhone‬</t>
        </is>
      </c>
      <c r="E386" s="4" t="inlineStr">
        <is>
          <t>60008980</t>
        </is>
      </c>
    </row>
    <row r="387" ht="18" customHeight="1">
      <c r="A387" s="5" t="inlineStr">
        <is>
          <t>m6iyr &lt;alm6iry@hotmail.com&gt;</t>
        </is>
      </c>
      <c r="B387" s="6" t="inlineStr">
        <is>
          <t>alm6iry@hotmail.com</t>
        </is>
      </c>
      <c r="C387" s="5">
        <f>?utf-8?B?2YXZh9mFINis2K/Yp9mLINiMICDYudiv2YUg2YbYtNixINmF2LnZhNmI2YU=?=  =?utf-8?B?2KfYqtmKINin2YTYtNiu2LXZitmHIA==?=</f>
        <v/>
      </c>
      <c r="D387" s="5"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387" s="7" t="inlineStr">
        <is>
          <t>65188868</t>
        </is>
      </c>
    </row>
    <row r="388" ht="18" customHeight="1">
      <c r="A388" s="2" t="inlineStr">
        <is>
          <t>Ammar Hameed Ali AHMAD &lt;ammar@moi.gov.kw&gt;</t>
        </is>
      </c>
      <c r="B388" s="3" t="inlineStr">
        <is>
          <t>ammar@moi.gov.kw</t>
        </is>
      </c>
      <c r="C388" s="2" t="inlineStr">
        <is>
          <t>immediate action to delete and remove all related data as detailed (  highly Confidential )</t>
        </is>
      </c>
      <c r="D388" s="2" t="inlineStr">
        <is>
          <t>Dear True caller Privacy Team,  Dear MENODAG ��� ��� Privacy Team,  Dear MENOMA3AY ��� ���� Privacy Team,  Dear menomota9el ��� ���� Privacy Team,  Please find attached an official letter from the Electronics &amp; Cyber Crime Combating Department, Ministry of Interior � State of Kuwait, regarding a Privacy Violation Removal Request.  The request concerns the unauthorized exposure of personal information belonging to several Kuwaiti officials and citizens, and we kindly ask for your immediate action to delete and remove all related data as detailed in the attached document.  For verification or further correspondence, you may contact us directly through the official email ammar@moi.gov.kw or by  ...</t>
        </is>
      </c>
      <c r="E388" s="4" t="inlineStr">
        <is>
          <t>60069600</t>
        </is>
      </c>
    </row>
    <row r="389" ht="18" customHeight="1">
      <c r="A389" s="5" t="inlineStr">
        <is>
          <t>ahmad warriory &lt;warriory2@gmail.com&gt;</t>
        </is>
      </c>
      <c r="B389" s="6" t="inlineStr">
        <is>
          <t>warriory2@gmail.com</t>
        </is>
      </c>
      <c r="C389" s="5">
        <f>?utf-8?B?2KfYstmE2Kog2LHZgtmF2Yog2YXZhiDZhti22YUg2YTYr9mK2YM=?=  =?utf-8?B?2YU=?=</f>
        <v/>
      </c>
      <c r="D389" s="5" t="inlineStr">
        <is>
          <t>ازلت رقمي من نضم لديكم  55666203     ‫أُرسلت من الـ iPhone‬</t>
        </is>
      </c>
      <c r="E389" s="7" t="inlineStr">
        <is>
          <t>55666203</t>
        </is>
      </c>
    </row>
    <row r="390" ht="18" customHeight="1">
      <c r="A390" s="2">
        <f>?utf-8?B?2KfZhNmA2YDZgNmA2YDYtdmA2YDZgNmA2YDZiNiqINin2YTZgNmA2YDZgNmA?=  =?utf-8?B?2KzZgNmA2YDZgNmA2LHZitmA2YDZgNmA2YDYrQ==?= &lt;abodi-84@hotmail.com&gt;</f>
        <v/>
      </c>
      <c r="B390" s="3" t="inlineStr">
        <is>
          <t>abodi-84@hotmail.com</t>
        </is>
      </c>
      <c r="C390" s="2">
        <f>?utf-8?B?2K3YsNmBINin2YTYsdmC2YUg2KjYtNmD2YQg2YbZh9in2KbZiiA=?=</f>
        <v/>
      </c>
      <c r="D390" s="2"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390" s="4" t="inlineStr">
        <is>
          <t>52521400</t>
        </is>
      </c>
    </row>
    <row r="391" ht="18" customHeight="1">
      <c r="A391" s="5" t="inlineStr">
        <is>
          <t>khalid almutairi &lt;5ex@live.com&gt;</t>
        </is>
      </c>
      <c r="B391" s="6" t="inlineStr">
        <is>
          <t>5ex@live.com</t>
        </is>
      </c>
      <c r="C391" s="5">
        <f>?utf-8?B?2YXZh9mFINis2K/Yp9mLINiMICDYudiv2YUg2YbYtNixINmF2LnZhNmI2YU=?=  =?utf-8?B?2KfYqtmKINin2YTYtNiu2LXZitmHIA==?=</f>
        <v/>
      </c>
      <c r="D391" s="5" t="inlineStr">
        <is>
          <t xml:space="preserve">﻿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391" s="7" t="inlineStr">
        <is>
          <t>65188868</t>
        </is>
      </c>
    </row>
    <row r="392" ht="18" customHeight="1">
      <c r="A392" s="2" t="inlineStr">
        <is>
          <t>khalid almutairi &lt;5ex@live.com&gt;</t>
        </is>
      </c>
      <c r="B392" s="3" t="inlineStr">
        <is>
          <t>5ex@live.com</t>
        </is>
      </c>
      <c r="C392" s="2">
        <f>?utf-8?B?2YXZh9mFINis2K/Yp9mLINiMICDYudiv2YUg2YbYtNixINmF2LnZhNmI2YU=?=  =?utf-8?B?2KfYqtmKINin2YTYtNiu2LXZitmHIA==?=</f>
        <v/>
      </c>
      <c r="D392" s="2" t="inlineStr">
        <is>
          <t xml:space="preserve">﻿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392" s="4" t="inlineStr">
        <is>
          <t>65188868</t>
        </is>
      </c>
    </row>
    <row r="393" ht="18" customHeight="1">
      <c r="A393" s="5" t="inlineStr">
        <is>
          <t>F N &lt;fnawaf15@gmail.com&gt;</t>
        </is>
      </c>
      <c r="B393" s="6" t="inlineStr">
        <is>
          <t>fnawaf15@gmail.com</t>
        </is>
      </c>
      <c r="C393" s="5">
        <f>?UTF-8?B?2LfZhNioINit2LDZgSDYp9mE2LHZgtmF?=</f>
        <v/>
      </c>
      <c r="D393" s="5" t="inlineStr">
        <is>
          <t xml:space="preserve">مسح كل الاسماء المسجلة على رقمي وحفظ الاسم الصحيح وهو: فلاح نواف الميموني وشكرا </t>
        </is>
      </c>
      <c r="E393" s="7" t="inlineStr"/>
    </row>
    <row r="394" ht="18" customHeight="1">
      <c r="A394" s="2" t="inlineStr">
        <is>
          <t>Muath Albeak &lt;muath53@gmail.com&gt;</t>
        </is>
      </c>
      <c r="B394" s="3" t="inlineStr">
        <is>
          <t>muath53@gmail.com</t>
        </is>
      </c>
      <c r="C394" s="2">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394" s="2" t="inlineStr">
        <is>
          <t xml:space="preserve">لو سمحت اخوي اكم مره دفعتلك انا وكل مره اقلك امسح الرقم ينسمسح ويرجع بعد فتره يرجى مسح الرقم ابدي ادا سمحت 67085099 </t>
        </is>
      </c>
      <c r="E394" s="4" t="inlineStr">
        <is>
          <t>67085099</t>
        </is>
      </c>
    </row>
    <row r="395" ht="18" customHeight="1">
      <c r="A395" s="5" t="inlineStr">
        <is>
          <t>Muath Albeak &lt;muath53@gmail.com&gt;</t>
        </is>
      </c>
      <c r="B395" s="6" t="inlineStr">
        <is>
          <t>muath53@gmail.com</t>
        </is>
      </c>
      <c r="C395" s="5">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395" s="5" t="inlineStr">
        <is>
          <t xml:space="preserve">لو سمحت اخوي اكم مره دفعتلك انا وكل مره اقلك امسح الرقم ينسمسح ويرجع بعد فتره يرجى مسح الرقم ابدي ادا سمحت 67085099 </t>
        </is>
      </c>
      <c r="E395" s="7" t="inlineStr">
        <is>
          <t>67085099</t>
        </is>
      </c>
    </row>
    <row r="396" ht="18" customHeight="1">
      <c r="A396" s="2" t="inlineStr">
        <is>
          <t>mashari alshammairi &lt;aboazoz16@icloud.com&gt;</t>
        </is>
      </c>
      <c r="B396" s="3" t="inlineStr">
        <is>
          <t>aboazoz16@icloud.com</t>
        </is>
      </c>
      <c r="C396" s="2">
        <f>?utf-8?B?2KfZhNix2K3Yp9ihINit2LDZgSDYp9mE2KfYs9mFINmF2Lkg2Kc=?=  =?utf-8?B?2YTYsdmC2YU=?=</f>
        <v/>
      </c>
      <c r="D396" s="2" t="inlineStr">
        <is>
          <t xml:space="preserve">Hello! How can we help you?  Report جسم17 : 90088815   مشاري علي الشمري </t>
        </is>
      </c>
      <c r="E396" s="4" t="inlineStr">
        <is>
          <t>90088815</t>
        </is>
      </c>
    </row>
    <row r="397" ht="18" customHeight="1">
      <c r="A397" s="5" t="inlineStr">
        <is>
          <t>Khaled musaid Alghaith &lt;kmalgh@icloud.com&gt;</t>
        </is>
      </c>
      <c r="B397" s="6" t="inlineStr">
        <is>
          <t>kmalgh@icloud.com</t>
        </is>
      </c>
      <c r="C397" s="5" t="inlineStr"/>
      <c r="D397" s="5" t="inlineStr">
        <is>
          <t>Hello! How can we help you?  Report Fara7 Al T5aim 2- : 99811188   Sent from my iPhone</t>
        </is>
      </c>
      <c r="E397" s="7" t="inlineStr">
        <is>
          <t>99811188</t>
        </is>
      </c>
    </row>
    <row r="398" ht="18" customHeight="1">
      <c r="A398" s="2" t="inlineStr">
        <is>
          <t>ABDULRAHMAN ALI &lt;alkandariimp@gmail.com&gt;</t>
        </is>
      </c>
      <c r="B398" s="3" t="inlineStr">
        <is>
          <t>alkandariimp@gmail.com</t>
        </is>
      </c>
      <c r="C398" s="2" t="inlineStr">
        <is>
          <t xml:space="preserve">Please erase it please </t>
        </is>
      </c>
      <c r="D398" s="2" t="inlineStr">
        <is>
          <t>Hello! How can we help you?  Report أم عبدالرحمن مراقبة حولي : 99449114   Sent from my iPhone</t>
        </is>
      </c>
      <c r="E398" s="4" t="inlineStr">
        <is>
          <t>99449114</t>
        </is>
      </c>
    </row>
    <row r="399" ht="18" customHeight="1">
      <c r="A399" s="5" t="inlineStr">
        <is>
          <t>ABDULRAHMAN ALI &lt;alkandariimp@gmail.com&gt;</t>
        </is>
      </c>
      <c r="B399" s="6" t="inlineStr">
        <is>
          <t>alkandariimp@gmail.com</t>
        </is>
      </c>
      <c r="C399" s="5" t="inlineStr">
        <is>
          <t xml:space="preserve">Please erase it quickly please </t>
        </is>
      </c>
      <c r="D399" s="5" t="inlineStr">
        <is>
          <t>Hello! How can we help you?  Report محاشي لبنانية- : 97797329  Please erase it quickly please  Sent from my iPhone</t>
        </is>
      </c>
      <c r="E399" s="7" t="inlineStr">
        <is>
          <t>97797329</t>
        </is>
      </c>
    </row>
    <row r="400" ht="18" customHeight="1">
      <c r="A400" s="2" t="inlineStr">
        <is>
          <t>hadeel ahmad &lt;hadooola_9991@icloud.com&gt;</t>
        </is>
      </c>
      <c r="B400" s="3" t="inlineStr">
        <is>
          <t>hadooola_9991@icloud.com</t>
        </is>
      </c>
      <c r="C400" s="2" t="inlineStr"/>
      <c r="D400" s="2" t="inlineStr">
        <is>
          <t>Hello! How can we help you?  Report rfejat rqya hanan : 51106022   Sent from my iPhone</t>
        </is>
      </c>
      <c r="E400" s="4" t="inlineStr">
        <is>
          <t>51106022</t>
        </is>
      </c>
    </row>
    <row r="401" ht="18" customHeight="1">
      <c r="A401" s="5" t="inlineStr">
        <is>
          <t>Assila Almutairi &lt;a9olzii96@icloud.com&gt;</t>
        </is>
      </c>
      <c r="B401" s="6" t="inlineStr">
        <is>
          <t>a9olzii96@icloud.com</t>
        </is>
      </c>
      <c r="C401" s="5" t="inlineStr"/>
      <c r="D401" s="5" t="inlineStr">
        <is>
          <t xml:space="preserve">Hello! How can we help you?  Report Ali Akbar - Operation ✈️ : 55665998   Sent from my iPhone  الاسم مايمثلني رجاءا امسحوه </t>
        </is>
      </c>
      <c r="E401" s="7" t="inlineStr">
        <is>
          <t>55665998</t>
        </is>
      </c>
    </row>
    <row r="402" ht="18" customHeight="1">
      <c r="A402" s="2" t="inlineStr">
        <is>
          <t>"Mohammad ....." &lt;piwr@hotmail.com&gt;</t>
        </is>
      </c>
      <c r="B402" s="3" t="inlineStr">
        <is>
          <t>piwr@hotmail.com</t>
        </is>
      </c>
      <c r="C402" s="2" t="inlineStr">
        <is>
          <t xml:space="preserve">Wrong names, thank you </t>
        </is>
      </c>
      <c r="D402" s="2" t="inlineStr">
        <is>
          <t xml:space="preserve">Hello! How can we help you?   Report أمير جاد الكريم محمد : 66116602   Report خرسانة المباركيه م/جمال : 66116602   Report عمو امير- : 66116602   Report نمساويه ابواحمد : 66116602   Report خرسانة الصناعية : 66116602   Report أمير جادالكريم : 66116602   Report الامير جادالكريم : 66116602   Report الامير ابو احمد زوج امال : 66116602   Report اشرف المباركيه عابدين : 66116602   Report Abo A7med 7ag 2018 : 66116602   Report الامير جاد : 66116602   Report Mhamad Masre Sahpe : 66116602   Report فنطاس : 66116602   Report قص : 66116602   Report احمد امير قطوو بيكي فيس : 66116602    Best wishes. </t>
        </is>
      </c>
      <c r="E402" s="4" t="inlineStr">
        <is>
          <t>66116602</t>
        </is>
      </c>
    </row>
    <row r="403" ht="18" customHeight="1">
      <c r="A403" s="5" t="inlineStr">
        <is>
          <t>Shahad Alsaleh &lt;Shahad.alsaleh90@hotmail.com&gt;</t>
        </is>
      </c>
      <c r="B403" s="6" t="inlineStr">
        <is>
          <t>Shahad.alsaleh90@hotmail.com</t>
        </is>
      </c>
      <c r="C403" s="5">
        <f>?utf-8?B?2LTZitmE2YjZhw==?=</f>
        <v/>
      </c>
      <c r="D403" s="5" t="inlineStr">
        <is>
          <t xml:space="preserve">Hello! How can we help you?  Report ام الباترول❤️ : 98701234  بليز شيلو هالاسم زاعجني   Sent from my iPhone </t>
        </is>
      </c>
      <c r="E403" s="7" t="inlineStr">
        <is>
          <t>98701234</t>
        </is>
      </c>
    </row>
    <row r="404" ht="18" customHeight="1">
      <c r="A404" s="2" t="inlineStr">
        <is>
          <t>abdulaziz1098@icloud.com</t>
        </is>
      </c>
      <c r="B404" s="3" t="inlineStr">
        <is>
          <t>abdulaziz1098@icloud.com</t>
        </is>
      </c>
      <c r="C404" s="2">
        <f>?utf-8?B?2K3YsNmBINin2LPZhS4g2YHZitiq2YQg?=</f>
        <v/>
      </c>
      <c r="D404" s="2" t="inlineStr">
        <is>
          <t>Hello! How can we help you?  Report فيصل عبدالعزيز الهديبان (فيتل ) : 66000773   Sent from my iPhone</t>
        </is>
      </c>
      <c r="E404" s="4" t="inlineStr">
        <is>
          <t>66000773</t>
        </is>
      </c>
    </row>
    <row r="405" ht="18" customHeight="1">
      <c r="A405" s="5" t="inlineStr">
        <is>
          <t>Yousef Alhaj &lt;l_b_e_h@hotmail.com&gt;</t>
        </is>
      </c>
      <c r="B405" s="6" t="inlineStr">
        <is>
          <t>l_b_e_h@hotmail.com</t>
        </is>
      </c>
      <c r="C405" s="5">
        <f>?utf-8?B?2KfZhNix2KzYp9ihINmF2LPYrSDYp9mE2KfYs9mFINmF2LPZitihINmE2Yo=?=</f>
        <v/>
      </c>
      <c r="D405" s="5" t="inlineStr">
        <is>
          <t xml:space="preserve">Hello! How can we help you?  Report يوسف الحاج فسفس : 55784443 </t>
        </is>
      </c>
      <c r="E405" s="7" t="inlineStr">
        <is>
          <t>55784443</t>
        </is>
      </c>
    </row>
    <row r="406" ht="18" customHeight="1">
      <c r="A406" s="2" t="inlineStr">
        <is>
          <t>Raghad Alajmi &lt;rosealsh3lan@gmail.com&gt;</t>
        </is>
      </c>
      <c r="B406" s="3" t="inlineStr">
        <is>
          <t>rosealsh3lan@gmail.com</t>
        </is>
      </c>
      <c r="C406" s="2">
        <f>?utf-8?B?2YfZhtin2YMg2KfYs9mF2KfYoSDZhNinINiq2K7YtdmG2Yog2YU=?=  =?utf-8?B?2LPYrNmE2Ycg2LnZhNmJINmH2LDYpyDYp9mE2LHZgtmFINmI2YM=?=  =?utf-8?B?2LDZhNmDINi52YbZiNin2YYg2KfZhNiz2YPZhiDZhdiz2KzZhCA=?=  =?utf-8?B?2YjZh9iw2Kcg2KfZhtiq2YfYp9mDINmE2YTYrti12YjYtdmK2Ycg?=  =?utf-8?B?2KfYsdis2Ygg2YXYs9itINin2YTYqNmK2KfZhtin2Kog2KfZhNmC?=  =?utf-8?B?2K/ZitmF2Ycg2KfYrdiq2LHYp9mF2Kcg2YTYrti12YjYtdmK2Ko=?=  =?utf-8?B?2Yog2Ygg2YTYp9mG2Ycg2KjYudi2INin2YTYp9i02K7Yp9i1INmK?=  =?utf-8?B?2KrZiNin2LXZhNmI2YYg2YXYudmKINmK2LjZhtmI2YYg2KfZhtmK?=  =?utf-8?B?INi12KfYrdio2Kkg2KfZhNiu2Lcg2KfZhNmC2K/ZitmFIA==?=</f>
        <v/>
      </c>
      <c r="D406" s="2" t="inlineStr">
        <is>
          <t>Hello! How can we help you?  Report متطفلين حسب بلاغات من بلدك KW :   ‫أُرسلت من الـ iPhone‬</t>
        </is>
      </c>
      <c r="E406" s="4" t="inlineStr"/>
    </row>
    <row r="407" ht="18" customHeight="1">
      <c r="A407" s="5" t="inlineStr">
        <is>
          <t>Raghad Alajmi &lt;rosealsh3lan@gmail.com&gt;</t>
        </is>
      </c>
      <c r="B407" s="6" t="inlineStr">
        <is>
          <t>rosealsh3lan@gmail.com</t>
        </is>
      </c>
      <c r="C407" s="5">
        <f>?utf-8?B?2LnZhtmI2KfZhiDYp9mE2LPZg9mGINin2YTYrtin2LUg2YHZitmG?=  =?utf-8?B?2Yog2YjZh9iw2Kcg2KfZhtiq2YfYp9mDINmE2YTYrti12YjYtdmK?=  =?utf-8?B?2Yc=?=</f>
        <v/>
      </c>
      <c r="D407" s="5" t="inlineStr">
        <is>
          <t>Hello! How can we help you?  Report 335الظهر / ق5 / ش1 / م 43 : 56667565   ‫أُرسلت من الـ iPhone‬</t>
        </is>
      </c>
      <c r="E407" s="7" t="inlineStr">
        <is>
          <t>56667565</t>
        </is>
      </c>
    </row>
    <row r="408" ht="18" customHeight="1">
      <c r="A408" s="2" t="inlineStr">
        <is>
          <t>Raghad Alajmi &lt;rosealsh3lan@gmail.com&gt;</t>
        </is>
      </c>
      <c r="B408" s="3" t="inlineStr">
        <is>
          <t>rosealsh3lan@gmail.com</t>
        </is>
      </c>
      <c r="C408" s="2">
        <f>?utf-8?B?2LnZhtmI2KfZhiDYp9mE2LPZg9mGINin2YTYrtin2LUg2YHZitmG?=  =?utf-8?B?2Yog2YjZh9iw2Kcg2KfZhtiq2YfYp9mDINmE2YTYrti12YjYtdmK?=  =?utf-8?B?2Yc=?=</f>
        <v/>
      </c>
      <c r="D408" s="2" t="inlineStr">
        <is>
          <t>Hello! How can we help you?  Report 335الظهر / ق5 / ش1 / : 56667565   ‫أُرسلت من الـ iPhone‬</t>
        </is>
      </c>
      <c r="E408" s="4" t="inlineStr">
        <is>
          <t>56667565</t>
        </is>
      </c>
    </row>
    <row r="409" ht="18" customHeight="1">
      <c r="A409" s="5" t="inlineStr">
        <is>
          <t>Raghad Alajmi &lt;rosealsh3lan@gmail.com&gt;</t>
        </is>
      </c>
      <c r="B409" s="6" t="inlineStr">
        <is>
          <t>rosealsh3lan@gmail.com</t>
        </is>
      </c>
      <c r="C409" s="5">
        <f>?utf-8?B?2YfYsNinINin2YTYp9iz2YUg2YTYpyDZitiu2LXZhtmKINmI2Yo=?=  =?utf-8?B?2LPYqNioINmE2Yog2KfYsti52KfYrCDYtdin2K3YqCDYp9mE2K4=?=  =?utf-8?B?2Lcg2KfZhNmC2K/ZitmFIA==?=</f>
        <v/>
      </c>
      <c r="D409" s="5" t="inlineStr">
        <is>
          <t>Hello! How can we help you?  Report حفيظ 1 : 56667565   ‫أُرسلت من الـ iPhone‬</t>
        </is>
      </c>
      <c r="E409" s="7" t="inlineStr">
        <is>
          <t>56667565</t>
        </is>
      </c>
    </row>
    <row r="410" ht="18" customHeight="1">
      <c r="A410" s="2" t="inlineStr">
        <is>
          <t>Raghad Alajmi &lt;rosealsh3lan@gmail.com&gt;</t>
        </is>
      </c>
      <c r="B410" s="3" t="inlineStr">
        <is>
          <t>rosealsh3lan@gmail.com</t>
        </is>
      </c>
      <c r="C410" s="2">
        <f>?utf-8?B?2YfYsNinINin2YTYp9iz2YUg2YTYpyDZitiu2LXZhtmKINmI2Yo=?=  =?utf-8?B?2LPYqNioINmE2Yog2KfYsti52KfYrCDYtdin2K3YqCDYp9mE2K4=?=  =?utf-8?B?2Lcg2KfZhNmC2K/ZitmFIA==?=</f>
        <v/>
      </c>
      <c r="D410" s="2" t="inlineStr">
        <is>
          <t>Hello! How can we help you?  Report Hafeed Hafeed 3439 : 56667565   ‫أُرسلت من الـ iPhone‬</t>
        </is>
      </c>
      <c r="E410" s="4" t="inlineStr">
        <is>
          <t>56667565</t>
        </is>
      </c>
    </row>
    <row r="411" ht="18" customHeight="1">
      <c r="A411" s="5" t="inlineStr">
        <is>
          <t>Raghad Alajmi &lt;rosealsh3lan@gmail.com&gt;</t>
        </is>
      </c>
      <c r="B411" s="6" t="inlineStr">
        <is>
          <t>rosealsh3lan@gmail.com</t>
        </is>
      </c>
      <c r="C411" s="5">
        <f>?utf-8?B?2YfYsNinINin2YTYp9iz2YUg2YTYpyDZitiu2LXZhtmKINmI2Yo=?=  =?utf-8?B?2LPYqNioINmE2Yog2KfYsti52KfYrCDYtdin2K3YqCDYp9mE2K4=?=  =?utf-8?B?2Lcg2KfZhNmC2K/ZitmFIA==?=</f>
        <v/>
      </c>
      <c r="D411" s="5" t="inlineStr">
        <is>
          <t>Hello! How can we help you?  Report شافيه : 56667565   ‫أُرسلت من الـ iPhone‬</t>
        </is>
      </c>
      <c r="E411" s="7" t="inlineStr">
        <is>
          <t>56667565</t>
        </is>
      </c>
    </row>
    <row r="412" ht="18" customHeight="1">
      <c r="A412" s="2" t="inlineStr">
        <is>
          <t>Raghad Alajmi &lt;rosealsh3lan@gmail.com&gt;</t>
        </is>
      </c>
      <c r="B412" s="3" t="inlineStr">
        <is>
          <t>rosealsh3lan@gmail.com</t>
        </is>
      </c>
      <c r="C412" s="2">
        <f>?utf-8?B?2YfYsNinINin2YTYp9iz2YUg2YTYpyDZitiu2LXZhtmKINmI2Yo=?=  =?utf-8?B?2LPYqNioINmE2Yog2KfYsti52KfYrCDYtdin2K3YqCDYp9mE2K4=?=  =?utf-8?B?2Lcg2KfZhNmC2K/ZitmFIA==?=</f>
        <v/>
      </c>
      <c r="D412" s="2" t="inlineStr">
        <is>
          <t>Hello! How can we help you?  Report شفيا الشعلان : 56667565   ‫أُرسلت من الـ iPhone‬</t>
        </is>
      </c>
      <c r="E412" s="4" t="inlineStr">
        <is>
          <t>56667565</t>
        </is>
      </c>
    </row>
    <row r="413" ht="18" customHeight="1">
      <c r="A413" s="5" t="inlineStr">
        <is>
          <t>Raghad Alajmi &lt;rosealsh3lan@gmail.com&gt;</t>
        </is>
      </c>
      <c r="B413" s="6" t="inlineStr">
        <is>
          <t>rosealsh3lan@gmail.com</t>
        </is>
      </c>
      <c r="C413" s="5">
        <f>?utf-8?B?2YfYsNinINin2YTYp9iz2YUg2YTYpyDZitiu2LXZhtmKINmI2Yo=?=  =?utf-8?B?2LPYqNioINmE2Yog2KfYsti52KfYrCDYtdin2K3YqCDYp9mE2K4=?=  =?utf-8?B?2Lcg2KfZhNmC2K/ZitmFIA==?=</f>
        <v/>
      </c>
      <c r="D413" s="5" t="inlineStr">
        <is>
          <t>Hello! How can we help you?  Report شفيا : 56667565   ‫أُرسلت من الـ iPhone‬</t>
        </is>
      </c>
      <c r="E413" s="7" t="inlineStr">
        <is>
          <t>56667565</t>
        </is>
      </c>
    </row>
    <row r="414" ht="18" customHeight="1">
      <c r="A414" s="2" t="inlineStr">
        <is>
          <t>Raghad Alajmi &lt;rosealsh3lan@gmail.com&gt;</t>
        </is>
      </c>
      <c r="B414" s="3" t="inlineStr">
        <is>
          <t>rosealsh3lan@gmail.com</t>
        </is>
      </c>
      <c r="C414" s="2">
        <f>?utf-8?B?2YfYsNinINin2YTYp9iz2YUg2YTYpyDZitiu2LXZhtmKINmI2Yo=?=  =?utf-8?B?2LPYqNioINmE2Yog2KfYsti52KfYrCDYtdin2K3YqCDYp9mE2K4=?=  =?utf-8?B?2Lcg2KfZhNmC2K/ZitmFIA==?=</f>
        <v/>
      </c>
      <c r="D414" s="2" t="inlineStr">
        <is>
          <t>Hello! How can we help you?  Report شفعه : 56667565   ‫أُرسلت من الـ iPhone‬</t>
        </is>
      </c>
      <c r="E414" s="4" t="inlineStr">
        <is>
          <t>56667565</t>
        </is>
      </c>
    </row>
    <row r="415" ht="18" customHeight="1">
      <c r="A415" s="5" t="inlineStr">
        <is>
          <t>Raghad Alajmi &lt;rosealsh3lan@gmail.com&gt;</t>
        </is>
      </c>
      <c r="B415" s="6" t="inlineStr">
        <is>
          <t>rosealsh3lan@gmail.com</t>
        </is>
      </c>
      <c r="C415" s="5">
        <f>?utf-8?B?2YfYsNinINin2YTYp9iz2YUg2YTYpyDZitiu2LXZhtmKINmI2Yo=?=  =?utf-8?B?2LPYqNioINmE2Yog2KfYsti52KfYrCDYtdin2K3YqCDYp9mE2K4=?=  =?utf-8?B?2Lcg2KfZhNmC2K/ZitmFIA==?=</f>
        <v/>
      </c>
      <c r="D415" s="5" t="inlineStr">
        <is>
          <t>Hello! How can we help you?  Report شافيه العجمي جديده : 56667565   ‫أُرسلت من الـ iPhone‬</t>
        </is>
      </c>
      <c r="E415" s="7" t="inlineStr">
        <is>
          <t>56667565</t>
        </is>
      </c>
    </row>
    <row r="416" ht="18" customHeight="1">
      <c r="A416" s="2" t="inlineStr">
        <is>
          <t>Raghad Alajmi &lt;rosealsh3lan@gmail.com&gt;</t>
        </is>
      </c>
      <c r="B416" s="3" t="inlineStr">
        <is>
          <t>rosealsh3lan@gmail.com</t>
        </is>
      </c>
      <c r="C416" s="2">
        <f>?utf-8?B?2YfYsNinINin2YTYp9iz2YUg2YTYpyDZitiu2LXZhtmKINmI2Yo=?=  =?utf-8?B?2LPYqNioINmE2Yog2KfYsti52KfYrCDYtdin2K3YqCDYp9mE2K4=?=  =?utf-8?B?2Lcg2KfZhNmC2K/ZitmFIA==?=</f>
        <v/>
      </c>
      <c r="D416" s="2" t="inlineStr">
        <is>
          <t>Hello! How can we help you?  Report رغد (شفيا العجمي) : 56667565   ‫أُرسلت من الـ iPhone‬</t>
        </is>
      </c>
      <c r="E416" s="4" t="inlineStr">
        <is>
          <t>56667565</t>
        </is>
      </c>
    </row>
    <row r="417" ht="18" customHeight="1">
      <c r="A417" s="5" t="inlineStr">
        <is>
          <t>Raghad Alajmi &lt;rosealsh3lan@gmail.com&gt;</t>
        </is>
      </c>
      <c r="B417" s="6" t="inlineStr">
        <is>
          <t>rosealsh3lan@gmail.com</t>
        </is>
      </c>
      <c r="C417" s="5">
        <f>?utf-8?B?2YfYsNinINin2YTYp9iz2YUg2YTYpyDZitiu2LXZhtmKINmI2Yo=?=  =?utf-8?B?2LPYqNioINmE2Yog2KfYsti52KfYrCDYtdin2K3YqCDYp9mE2K4=?=  =?utf-8?B?2Lcg2KfZhNmC2K/ZitmFIA==?=</f>
        <v/>
      </c>
      <c r="D417" s="5" t="inlineStr">
        <is>
          <t>Hello! How can we help you?  Report شفيا الذوق : 56667565   ‫أُرسلت من الـ iPhone‬</t>
        </is>
      </c>
      <c r="E417" s="7" t="inlineStr">
        <is>
          <t>56667565</t>
        </is>
      </c>
    </row>
    <row r="418" ht="18" customHeight="1">
      <c r="A418" s="2" t="inlineStr">
        <is>
          <t>Raghad Alajmi &lt;rosealsh3lan@gmail.com&gt;</t>
        </is>
      </c>
      <c r="B418" s="3" t="inlineStr">
        <is>
          <t>rosealsh3lan@gmail.com</t>
        </is>
      </c>
      <c r="C418" s="2">
        <f>?utf-8?B?2YfYsNinINin2YTYp9iz2YUg2YTYpyDZitiu2LXZhtmKINmI2Yo=?=  =?utf-8?B?2LPYqNioINmE2Yog2KfYsti52KfYrCDYtdin2K3YqCDYp9mE2K4=?=  =?utf-8?B?2Lcg2KfZhNmC2K/ZitmFIA==?=</f>
        <v/>
      </c>
      <c r="D418" s="2" t="inlineStr">
        <is>
          <t>Hello! How can we help you?  Report شفوي اختي الجديد نور عيني 2 : 56667565   ‫أُرسلت من الـ iPhone‬</t>
        </is>
      </c>
      <c r="E418" s="4" t="inlineStr">
        <is>
          <t>56667565</t>
        </is>
      </c>
    </row>
    <row r="419" ht="18" customHeight="1">
      <c r="A419" s="5" t="inlineStr">
        <is>
          <t>Raghad Alajmi &lt;rosealsh3lan@gmail.com&gt;</t>
        </is>
      </c>
      <c r="B419" s="6" t="inlineStr">
        <is>
          <t>rosealsh3lan@gmail.com</t>
        </is>
      </c>
      <c r="C419" s="5">
        <f>?utf-8?B?2YfYsNinINin2YTYp9iz2YUg2YTYpyDZitiu2LXZhtmKINmI2Yo=?=  =?utf-8?B?2LPYqNioINmE2Yog2KfYsti52KfYrCDYtdin2K3YqCDYp9mE2K4=?=  =?utf-8?B?2Lcg2KfZhNmC2K/ZitmFIA==?=</f>
        <v/>
      </c>
      <c r="D419" s="5" t="inlineStr">
        <is>
          <t>Hello! How can we help you?  Report شفوي بنت شعلان : 56667565   ‫أُرسلت من الـ iPhone‬</t>
        </is>
      </c>
      <c r="E419" s="7" t="inlineStr">
        <is>
          <t>56667565</t>
        </is>
      </c>
    </row>
    <row r="420" ht="18" customHeight="1">
      <c r="A420" s="2" t="inlineStr">
        <is>
          <t>Raghad Alajmi &lt;rosealsh3lan@gmail.com&gt;</t>
        </is>
      </c>
      <c r="B420" s="3" t="inlineStr">
        <is>
          <t>rosealsh3lan@gmail.com</t>
        </is>
      </c>
      <c r="C420" s="2">
        <f>?utf-8?B?2YfYsNinINin2YTYp9iz2YUg2YTYpyDZitiu2LXZhtmKINmI2Yo=?=  =?utf-8?B?2LPYqNioINmE2Yog2KfYsti52KfYrCDYtdin2K3YqCDYp9mE2K4=?=  =?utf-8?B?2Lcg2KfZhNmC2K/ZitmFIA==?=</f>
        <v/>
      </c>
      <c r="D420" s="2" t="inlineStr">
        <is>
          <t>Hello! How can we help you?  Report شفوي الجديد : 56667565   ‫أُرسلت من الـ iPhone‬</t>
        </is>
      </c>
      <c r="E420" s="4" t="inlineStr">
        <is>
          <t>56667565</t>
        </is>
      </c>
    </row>
    <row r="421" ht="18" customHeight="1">
      <c r="A421" s="5" t="inlineStr">
        <is>
          <t>Loooly &lt;al7ub010@gmail.com&gt;</t>
        </is>
      </c>
      <c r="B421" s="6" t="inlineStr">
        <is>
          <t>al7ub010@gmail.com</t>
        </is>
      </c>
      <c r="C421" s="5" t="inlineStr"/>
      <c r="D421" s="5" t="inlineStr">
        <is>
          <t xml:space="preserve">Hello! How can we help you?  Report خالد الي عند اسامه- : 66443322   Sent from my iPhone برجاء حذف الاسم .. منعا للمشاكل </t>
        </is>
      </c>
      <c r="E421" s="7" t="inlineStr">
        <is>
          <t>66443322</t>
        </is>
      </c>
    </row>
    <row r="422" ht="18" customHeight="1">
      <c r="A422" s="2" t="inlineStr">
        <is>
          <t>Raghad Alajmi &lt;rosealsh3lan@gmail.com&gt;</t>
        </is>
      </c>
      <c r="B422" s="3" t="inlineStr">
        <is>
          <t>rosealsh3lan@gmail.com</t>
        </is>
      </c>
      <c r="C422" s="2">
        <f>?utf-8?B?2YfYsNinINin2YTYp9iz2YUg2YTYpyDZitiu2LXZhtmKINmI2Yo=?=  =?utf-8?B?2LPYqNioINmE2Yog2KfYsti52KfYrCDYtdin2K3YqCDYp9mE2K4=?=  =?utf-8?B?2Lcg2KfZhNmC2K/ZitmFIA==?=</f>
        <v/>
      </c>
      <c r="D422" s="2" t="inlineStr">
        <is>
          <t>Hello! How can we help you?  Report شافي حمد جديد : 56667565   ‫أُرسلت من الـ iPhone‬</t>
        </is>
      </c>
      <c r="E422" s="4" t="inlineStr">
        <is>
          <t>56667565</t>
        </is>
      </c>
    </row>
    <row r="423" ht="18" customHeight="1">
      <c r="A423" s="5" t="inlineStr">
        <is>
          <t>Raghad Alajmi &lt;rosealsh3lan@gmail.com&gt;</t>
        </is>
      </c>
      <c r="B423" s="6" t="inlineStr">
        <is>
          <t>rosealsh3lan@gmail.com</t>
        </is>
      </c>
      <c r="C423" s="5">
        <f>?utf-8?B?2YfYsNinINin2YTYp9iz2YUg2YTYpyDZitiu2LXZhtmKINmI2Yo=?=  =?utf-8?B?2LPYqNioINmE2Yog2KfYsti52KfYrCDYtdin2K3YqCDYp9mE2K4=?=  =?utf-8?B?2Lcg2KfZhNmC2K/ZitmFIA==?=</f>
        <v/>
      </c>
      <c r="D423" s="5" t="inlineStr">
        <is>
          <t>Hello! How can we help you?  Report Shafya al3jmi : 56667565   ‫أُرسلت من الـ iPhone‬</t>
        </is>
      </c>
      <c r="E423" s="7" t="inlineStr">
        <is>
          <t>56667565</t>
        </is>
      </c>
    </row>
    <row r="424" ht="18" customHeight="1">
      <c r="A424" s="2" t="inlineStr">
        <is>
          <t>Raghad Alajmi &lt;rosealsh3lan@gmail.com&gt;</t>
        </is>
      </c>
      <c r="B424" s="3" t="inlineStr">
        <is>
          <t>rosealsh3lan@gmail.com</t>
        </is>
      </c>
      <c r="C424" s="2">
        <f>?utf-8?B?2YfYsNinINin2YTYp9iz2YUg2YTYpyDZitiu2LXZhtmKINmI2Yo=?=  =?utf-8?B?2LPYqNioINmE2Yog2KfYsti52KfYrCDYtdin2K3YqCDYp9mE2K4=?=  =?utf-8?B?2Lcg2KfZhNmC2K/ZitmFIA==?=</f>
        <v/>
      </c>
      <c r="D424" s="2" t="inlineStr">
        <is>
          <t>Hello! How can we help you?  Report شفيا العجمي اسلامية : 56667565   ‫أُرسلت من الـ iPhone‬</t>
        </is>
      </c>
      <c r="E424" s="4" t="inlineStr">
        <is>
          <t>56667565</t>
        </is>
      </c>
    </row>
    <row r="425" ht="18" customHeight="1">
      <c r="A425" s="5" t="inlineStr">
        <is>
          <t>Raghad Alajmi &lt;rosealsh3lan@gmail.com&gt;</t>
        </is>
      </c>
      <c r="B425" s="6" t="inlineStr">
        <is>
          <t>rosealsh3lan@gmail.com</t>
        </is>
      </c>
      <c r="C425" s="5">
        <f>?utf-8?B?2YfYsNinINin2YTYp9iz2YUg2YTYpyDZitiu2LXZhtmKINmI2Yo=?=  =?utf-8?B?2LPYqNioINmE2Yog2KfYsti52KfYrCDYtdin2K3YqCDYp9mE2K4=?=  =?utf-8?B?2Lcg2KfZhNmC2K/ZitmFIA==?=</f>
        <v/>
      </c>
      <c r="D425" s="5" t="inlineStr">
        <is>
          <t>Hello! How can we help you?  Report شفيا اخت دلوول : 56667565   ‫أُرسلت من الـ iPhone‬</t>
        </is>
      </c>
      <c r="E425" s="7" t="inlineStr">
        <is>
          <t>56667565</t>
        </is>
      </c>
    </row>
    <row r="426" ht="18" customHeight="1">
      <c r="A426" s="2" t="inlineStr">
        <is>
          <t>Raghad Alajmi &lt;rosealsh3lan@gmail.com&gt;</t>
        </is>
      </c>
      <c r="B426" s="3" t="inlineStr">
        <is>
          <t>rosealsh3lan@gmail.com</t>
        </is>
      </c>
      <c r="C426" s="2">
        <f>?utf-8?B?2YfYsNinINin2YTYp9iz2YUg2YTYpyDZitiu2LXZhtmKINmI2Yo=?=  =?utf-8?B?2LPYqNioINmE2Yog2KfYsti52KfYrCDYtdin2K3YqCDYp9mE2K4=?=  =?utf-8?B?2Lcg2KfZhNmC2K/ZitmFIA==?=</f>
        <v/>
      </c>
      <c r="D426" s="2" t="inlineStr">
        <is>
          <t>Hello! How can we help you?  Report شفوي 2 : 56667565   ‫أُرسلت من الـ iPhone‬</t>
        </is>
      </c>
      <c r="E426" s="4" t="inlineStr">
        <is>
          <t>56667565</t>
        </is>
      </c>
    </row>
    <row r="427" ht="18" customHeight="1">
      <c r="A427" s="5" t="inlineStr">
        <is>
          <t>Raghad Alajmi &lt;rosealsh3lan@gmail.com&gt;</t>
        </is>
      </c>
      <c r="B427" s="6" t="inlineStr">
        <is>
          <t>rosealsh3lan@gmail.com</t>
        </is>
      </c>
      <c r="C427" s="5">
        <f>?utf-8?B?2YfYsNinINin2YTYp9iz2YUg2YTYpyDZitiu2LXZhtmKINmI2Yo=?=  =?utf-8?B?2LPYqNioINmE2Yog2KfYsti52KfYrCDYtdin2K3YqCDYp9mE2K4=?=  =?utf-8?B?2Lcg2KfZhNmC2K/ZitmFIA==?=</f>
        <v/>
      </c>
      <c r="D427" s="5" t="inlineStr">
        <is>
          <t>Hello! How can we help you?  Report ‏ ‏ ‏أم ‏حمد ‏‏شفوي ‏ : 56667565   ‫أُرسلت من الـ iPhone‬</t>
        </is>
      </c>
      <c r="E427" s="7" t="inlineStr">
        <is>
          <t>56667565</t>
        </is>
      </c>
    </row>
    <row r="428" ht="18" customHeight="1">
      <c r="A428" s="2" t="inlineStr">
        <is>
          <t>Raghad Alajmi &lt;rosealsh3lan@gmail.com&gt;</t>
        </is>
      </c>
      <c r="B428" s="3" t="inlineStr">
        <is>
          <t>rosealsh3lan@gmail.com</t>
        </is>
      </c>
      <c r="C428" s="2">
        <f>?utf-8?B?2YfYsNinINin2YTYp9iz2YUg2YTYpyDZitiu2LXZhtmKINmI2Yo=?=  =?utf-8?B?2LPYqNioINmE2Yog2KfYsti52KfYrCDYtdin2K3YqCDYp9mE2K4=?=  =?utf-8?B?2Lcg2KfZhNmC2K/ZitmFIA==?=</f>
        <v/>
      </c>
      <c r="D428" s="2" t="inlineStr">
        <is>
          <t>Hello! How can we help you?  Report شفوي1 : 56667565   ‫أُرسلت من الـ iPhone‬</t>
        </is>
      </c>
      <c r="E428" s="4" t="inlineStr">
        <is>
          <t>56667565</t>
        </is>
      </c>
    </row>
    <row r="429" ht="18" customHeight="1">
      <c r="A429" s="5" t="inlineStr">
        <is>
          <t>Raghad Alajmi &lt;rosealsh3lan@gmail.com&gt;</t>
        </is>
      </c>
      <c r="B429" s="6" t="inlineStr">
        <is>
          <t>rosealsh3lan@gmail.com</t>
        </is>
      </c>
      <c r="C429" s="5">
        <f>?utf-8?B?2YfYsNinINin2YTYp9iz2YUg2YTYpyDZitiu2LXZhtmKINmI2Yo=?=  =?utf-8?B?2LPYqNioINmE2Yog2KfYsti52KfYrCDYtdin2K3YqCDYp9mE2K4=?=  =?utf-8?B?2Lcg2KfZhNmC2K/ZitmFIA==?=</f>
        <v/>
      </c>
      <c r="D429" s="5" t="inlineStr">
        <is>
          <t>Hello! How can we help you?  Report شفيا العجمي : 56667565   ‫أُرسلت من الـ iPhone‬</t>
        </is>
      </c>
      <c r="E429" s="7" t="inlineStr">
        <is>
          <t>56667565</t>
        </is>
      </c>
    </row>
    <row r="430" ht="18" customHeight="1">
      <c r="A430" s="2" t="inlineStr">
        <is>
          <t>Raghad Alajmi &lt;rosealsh3lan@gmail.com&gt;</t>
        </is>
      </c>
      <c r="B430" s="3" t="inlineStr">
        <is>
          <t>rosealsh3lan@gmail.com</t>
        </is>
      </c>
      <c r="C430" s="2">
        <f>?utf-8?B?2YfYsNinINin2YTYp9iz2YUg2YTYpyDZitiu2LXZhtmKINmI2Yo=?=  =?utf-8?B?2LPYqNioINmE2Yog2KfYsti52KfYrCDYtdin2K3YqCDYp9mE2K4=?=  =?utf-8?B?2Lcg2KfZhNmC2K/ZitmFIA==?=</f>
        <v/>
      </c>
      <c r="D430" s="2" t="inlineStr">
        <is>
          <t>Hello! How can we help you?  Report شفوووي : 56667565   ‫أُرسلت من الـ iPhone‬</t>
        </is>
      </c>
      <c r="E430" s="4" t="inlineStr">
        <is>
          <t>56667565</t>
        </is>
      </c>
    </row>
    <row r="431" ht="18" customHeight="1">
      <c r="A431" s="5" t="inlineStr">
        <is>
          <t>Raghad Alajmi &lt;rosealsh3lan@gmail.com&gt;</t>
        </is>
      </c>
      <c r="B431" s="6" t="inlineStr">
        <is>
          <t>rosealsh3lan@gmail.com</t>
        </is>
      </c>
      <c r="C431" s="5">
        <f>?utf-8?B?2YfYsNinINin2YTYp9iz2YUg2YTYpyDZitiu2LXZhtmKINmI2Yo=?=  =?utf-8?B?2LPYqNioINmE2Yog2KfYsti52KfYrCDYtdin2K3YqCDYp9mE2K4=?=  =?utf-8?B?2Lcg2KfZhNmC2K/ZitmFIA==?=</f>
        <v/>
      </c>
      <c r="D431" s="5" t="inlineStr">
        <is>
          <t>Hello! How can we help you?  Report شفيه العجمي : 56667565   ‫أُرسلت من الـ iPhone‬</t>
        </is>
      </c>
      <c r="E431" s="7" t="inlineStr">
        <is>
          <t>56667565</t>
        </is>
      </c>
    </row>
    <row r="432" ht="18" customHeight="1">
      <c r="A432" s="2" t="inlineStr">
        <is>
          <t>Raghad Alajmi &lt;rosealsh3lan@gmail.com&gt;</t>
        </is>
      </c>
      <c r="B432" s="3" t="inlineStr">
        <is>
          <t>rosealsh3lan@gmail.com</t>
        </is>
      </c>
      <c r="C432" s="2">
        <f>?utf-8?B?2YfYsNinINin2YTYp9iz2YUg2YTYpyDZitiu2LXZhtmKINmI2Yo=?=  =?utf-8?B?2LPYqNioINmE2Yog2KfYsti52KfYrCDYtdin2K3YqCDYp9mE2K4=?=  =?utf-8?B?2Lcg2KfZhNmC2K/ZitmFIA==?=</f>
        <v/>
      </c>
      <c r="D432" s="2" t="inlineStr">
        <is>
          <t>Hello! How can we help you?  Report شفوي ام حمود وسلوم : 56667565   ‫أُرسلت من الـ iPhone‬</t>
        </is>
      </c>
      <c r="E432" s="4" t="inlineStr">
        <is>
          <t>56667565</t>
        </is>
      </c>
    </row>
    <row r="433" ht="18" customHeight="1">
      <c r="A433" s="5" t="inlineStr">
        <is>
          <t>Raghad Alajmi &lt;rosealsh3lan@gmail.com&gt;</t>
        </is>
      </c>
      <c r="B433" s="6" t="inlineStr">
        <is>
          <t>rosealsh3lan@gmail.com</t>
        </is>
      </c>
      <c r="C433" s="5">
        <f>?utf-8?B?2YfYsNinINin2YTYp9iz2YUg2YTYpyDZitiu2LXZhtmKINmI2Yo=?=  =?utf-8?B?2LPYqNioINmE2Yog2KfYsti52KfYrCDYtdin2K3YqCDYp9mE2K4=?=  =?utf-8?B?2Lcg2KfZhNmC2K/ZitmF?=</f>
        <v/>
      </c>
      <c r="D433" s="5" t="inlineStr">
        <is>
          <t>Hello! How can we help you?  Report شافيه اخت دلوول : 56667565   ‫أُرسلت من الـ iPhone‬</t>
        </is>
      </c>
      <c r="E433" s="7" t="inlineStr">
        <is>
          <t>56667565</t>
        </is>
      </c>
    </row>
    <row r="434" ht="18" customHeight="1">
      <c r="A434" s="2" t="inlineStr">
        <is>
          <t>Raghad Alajmi &lt;rosealsh3lan@gmail.com&gt;</t>
        </is>
      </c>
      <c r="B434" s="3" t="inlineStr">
        <is>
          <t>rosealsh3lan@gmail.com</t>
        </is>
      </c>
      <c r="C434" s="2">
        <f>?utf-8?B?2KfZhNin2LPZhSDZgdmKINmF2YbZiCDYr9in2YI=?=</f>
        <v/>
      </c>
      <c r="D434" s="2" t="inlineStr">
        <is>
          <t xml:space="preserve"> ‫أنا الخط شريته و طالع في منو داق بإسم الشخص القديم وهذا مسبب لي مشاكل يتصلون علي يظنون اني الشخص القديم ممكن حذف قاعدة البيانات القديمة لهذا الرقم من فضلكم لأنه الوضع مزعج جداً  الرقم اللي استخدمه 56667565  دولة الكويت  اذا تحتاجون شي يثبت امتلاكي للخط ممكن تبلغوني بالمطلوب </t>
        </is>
      </c>
      <c r="E434" s="4" t="inlineStr">
        <is>
          <t>56667565</t>
        </is>
      </c>
    </row>
    <row r="435" ht="18" customHeight="1">
      <c r="A435" s="5" t="inlineStr">
        <is>
          <t>Hassan Hazaa &lt;hassanhazaaa@gmail.com&gt;</t>
        </is>
      </c>
      <c r="B435" s="6" t="inlineStr">
        <is>
          <t>hassanhazaaa@gmail.com</t>
        </is>
      </c>
      <c r="C435" s="5" t="inlineStr"/>
      <c r="D435" s="5" t="inlineStr">
        <is>
          <t>Hello! How can we help you?  Report صاحبي العدان السجلات : 55017017  السلام عليكم .. ياليت يتم مسح هالاسم   وووشكرا   ‫أُرسلت من الـ iPhone‬</t>
        </is>
      </c>
      <c r="E435" s="7" t="inlineStr">
        <is>
          <t>55017017</t>
        </is>
      </c>
    </row>
    <row r="436" ht="18" customHeight="1">
      <c r="A436" s="2" t="inlineStr">
        <is>
          <t>maziad alrajhi &lt;vxr.2010@hotmail.com&gt;</t>
        </is>
      </c>
      <c r="B436" s="3" t="inlineStr">
        <is>
          <t>vxr.2010@hotmail.com</t>
        </is>
      </c>
      <c r="C436" s="2">
        <f>?utf-8?B?2KfYsdis2Ygg2KfZhiDZitiq2YUg2KfYstin2YTZhyDZh9iw2Kcg2KfZhNin?=  =?utf-8?B?2LPZhQ==?=</f>
        <v/>
      </c>
      <c r="D436" s="2" t="inlineStr">
        <is>
          <t xml:space="preserve">Hello! How can we help you?  Report الرقيب مزيد التحضير- : 66774471  Maziad Alrajhi </t>
        </is>
      </c>
      <c r="E436" s="4" t="inlineStr">
        <is>
          <t>66774471</t>
        </is>
      </c>
    </row>
    <row r="437" ht="18" customHeight="1">
      <c r="A437" s="5" t="inlineStr">
        <is>
          <t>maziad alrajhi &lt;vxr.2010@hotmail.com&gt;</t>
        </is>
      </c>
      <c r="B437" s="6" t="inlineStr">
        <is>
          <t>vxr.2010@hotmail.com</t>
        </is>
      </c>
      <c r="C437" s="5">
        <f>?utf-8?B?2KfYsdis2Ygg2KfYstin2YTZhyDZh9iw2Kcg2KfZhNin2LPZhQ==?=</f>
        <v/>
      </c>
      <c r="D437" s="5" t="inlineStr">
        <is>
          <t xml:space="preserve">Hello! How can we help you?  Report مزيد الطباع : 66774471  Maziad Alrajhi </t>
        </is>
      </c>
      <c r="E437" s="7" t="inlineStr">
        <is>
          <t>66774471</t>
        </is>
      </c>
    </row>
    <row r="438" ht="18" customHeight="1">
      <c r="A438" s="2" t="inlineStr">
        <is>
          <t>maziad alrajhi &lt;vxr.2010@hotmail.com&gt;</t>
        </is>
      </c>
      <c r="B438" s="3" t="inlineStr">
        <is>
          <t>vxr.2010@hotmail.com</t>
        </is>
      </c>
      <c r="C438" s="2">
        <f>?utf-8?B?2KfYsdis2Ygg2KfYstin2YTZhyDZh9iw2Kcg2KfZhNin2LPZhQ==?=</f>
        <v/>
      </c>
      <c r="D438" s="2" t="inlineStr">
        <is>
          <t xml:space="preserve">Hello! How can we help you?  Report الرقيب مزيد التحضير : 66774471  Maziad Alrajhi </t>
        </is>
      </c>
      <c r="E438" s="4" t="inlineStr">
        <is>
          <t>66774471</t>
        </is>
      </c>
    </row>
    <row r="439" ht="18" customHeight="1">
      <c r="A439" s="5" t="inlineStr">
        <is>
          <t>alwagd alwagd &lt;alwagd@live.com&gt;</t>
        </is>
      </c>
      <c r="B439" s="6" t="inlineStr">
        <is>
          <t>alwagd@live.com</t>
        </is>
      </c>
      <c r="C439" s="5">
        <f>?utf-8?B?2LfZhNioINit2LDZgSDYsdmC2YU=?=</f>
        <v/>
      </c>
      <c r="D439" s="5" t="inlineStr">
        <is>
          <t xml:space="preserve">واحد مسمي رقمي khalaf bottom لوسمحتو احذو اسم ‫أُرسلت من الـ iPhone‬ </t>
        </is>
      </c>
      <c r="E439" s="7" t="inlineStr"/>
    </row>
    <row r="440" ht="18" customHeight="1">
      <c r="A440" s="2" t="inlineStr">
        <is>
          <t>alwagd alwagd &lt;alwagd@live.com&gt;</t>
        </is>
      </c>
      <c r="B440" s="3" t="inlineStr">
        <is>
          <t>alwagd@live.com</t>
        </is>
      </c>
      <c r="C440" s="2" t="inlineStr"/>
      <c r="D440" s="2" t="inlineStr">
        <is>
          <t xml:space="preserve">Hello! How can we help you?  Report Khaled Bottom : 69929999  ‫أُرسلت من الـ iPhone‬ ياجماعه احذو الي مسجلني </t>
        </is>
      </c>
      <c r="E440" s="4" t="inlineStr">
        <is>
          <t>69929999</t>
        </is>
      </c>
    </row>
    <row r="441" ht="18" customHeight="1">
      <c r="A441" s="5" t="inlineStr">
        <is>
          <t>Hussain Alrajhy &lt;hussain.alrajhy@gmail.com&gt;</t>
        </is>
      </c>
      <c r="B441" s="6" t="inlineStr">
        <is>
          <t>hussain.alrajhy@gmail.com</t>
        </is>
      </c>
      <c r="C441" s="5">
        <f>?UTF-8?B?2YfYp9mFINis2K/Yp9mL?=</f>
        <v/>
      </c>
      <c r="D441" s="5"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441" s="7" t="inlineStr">
        <is>
          <t>94972258</t>
        </is>
      </c>
    </row>
    <row r="442" ht="18" customHeight="1">
      <c r="A442" s="2" t="inlineStr">
        <is>
          <t>muna_awadh2@icloud.com</t>
        </is>
      </c>
      <c r="B442" s="3" t="inlineStr">
        <is>
          <t>muna_awadh2@icloud.com</t>
        </is>
      </c>
      <c r="C442" s="2">
        <f>?utf-8?B?2J8=?=</f>
        <v/>
      </c>
      <c r="D442" s="2" t="inlineStr">
        <is>
          <t>Hello! How can we help you?  Report منى عوض بواقة الرياييل : 66361029   Sent from my iPhone</t>
        </is>
      </c>
      <c r="E442" s="4" t="inlineStr">
        <is>
          <t>66361029</t>
        </is>
      </c>
    </row>
    <row r="443" ht="18" customHeight="1">
      <c r="A443" s="5" t="inlineStr">
        <is>
          <t>Lulwa AlSaad &lt;lulwafalsaad@gmail.com&gt;</t>
        </is>
      </c>
      <c r="B443" s="6" t="inlineStr">
        <is>
          <t>lulwafalsaad@gmail.com</t>
        </is>
      </c>
      <c r="C443" s="5" t="inlineStr"/>
      <c r="D443" s="5" t="inlineStr">
        <is>
          <t>Hello! How can we help you?  Report زينة العثمان : 97479384   Sent from my iPhone</t>
        </is>
      </c>
      <c r="E443" s="7" t="inlineStr">
        <is>
          <t>97479384</t>
        </is>
      </c>
    </row>
    <row r="444" ht="18" customHeight="1">
      <c r="A444" s="2" t="inlineStr">
        <is>
          <t>Lulwa AlSaad &lt;lulwafalsaad@gmail.com&gt;</t>
        </is>
      </c>
      <c r="B444" s="3" t="inlineStr">
        <is>
          <t>lulwafalsaad@gmail.com</t>
        </is>
      </c>
      <c r="C444" s="2" t="inlineStr"/>
      <c r="D444" s="2" t="inlineStr">
        <is>
          <t>Hello! How can we help you?  Report تمويل أمانات : 97479384   Sent from my iPhone</t>
        </is>
      </c>
      <c r="E444" s="4" t="inlineStr">
        <is>
          <t>97479384</t>
        </is>
      </c>
    </row>
    <row r="445" ht="18" customHeight="1">
      <c r="A445" s="5" t="inlineStr">
        <is>
          <t>hanon shehab &lt;hanonshehab@gmail.com&gt;</t>
        </is>
      </c>
      <c r="B445" s="6" t="inlineStr">
        <is>
          <t>hanonshehab@gmail.com</t>
        </is>
      </c>
      <c r="C445" s="5">
        <f>?utf-8?B?2KfZhNin2LPZhSDYutmK2LEg2LXYrdmK2K0g2KfYsdis2Ygg2Kc=?=  =?utf-8?B?2YTYrdiw2YE=?=</f>
        <v/>
      </c>
      <c r="D445" s="5" t="inlineStr">
        <is>
          <t>Hello! How can we help you?  Report زبونه ابو حليفه : 60905355   Sent from my iPhone</t>
        </is>
      </c>
      <c r="E445" s="7" t="inlineStr">
        <is>
          <t>60905355</t>
        </is>
      </c>
    </row>
    <row r="446" ht="18" customHeight="1">
      <c r="A446" s="2" t="inlineStr">
        <is>
          <t>Sara Aladwani &lt;ombaderali@icloud.com&gt;</t>
        </is>
      </c>
      <c r="B446" s="3" t="inlineStr">
        <is>
          <t>ombaderali@icloud.com</t>
        </is>
      </c>
      <c r="C446" s="2" t="inlineStr"/>
      <c r="D446" s="2" t="inlineStr">
        <is>
          <t>Hello! How can we help you?  Report متطفلين حسب بلاغات من بلدك KW :   ‫أُرسلت من الـ iPhone‬</t>
        </is>
      </c>
      <c r="E446" s="4" t="inlineStr"/>
    </row>
    <row r="447" ht="18" customHeight="1">
      <c r="A447" s="5" t="inlineStr">
        <is>
          <t>Ahmad &lt;dandany22@yahoo.com&gt;</t>
        </is>
      </c>
      <c r="B447" s="6" t="inlineStr">
        <is>
          <t>dandany22@yahoo.com</t>
        </is>
      </c>
      <c r="C447" s="5" t="inlineStr">
        <is>
          <t xml:space="preserve">Hello </t>
        </is>
      </c>
      <c r="D447" s="5" t="inlineStr">
        <is>
          <t>Hello! How can we help you?  How can I add my display name ? Sent from my iPhone</t>
        </is>
      </c>
      <c r="E447" s="7" t="inlineStr"/>
    </row>
    <row r="448" ht="18" customHeight="1">
      <c r="A448" s="2" t="inlineStr">
        <is>
          <t>Heba Alhashemi &lt;h.89.hashemi89@gmail.com&gt;</t>
        </is>
      </c>
      <c r="B448" s="3" t="inlineStr">
        <is>
          <t>h.89.hashemi89@gmail.com</t>
        </is>
      </c>
      <c r="C448" s="2">
        <f>?UTF-8?B?UmU6INiq2YUg2YXYs9itINin2YTYp9iz2YUv2KfZhNix2YLZhSDYp9mE2YXYt9mE2YjYqA==?=</f>
        <v/>
      </c>
      <c r="D448" s="2" t="inlineStr">
        <is>
          <t xml:space="preserve">الرجاء مسح رقم 66440833 من برنامج منو داق  On Fri, Apr 11, 2025, 8:50 a.m. Menodag Sales &lt;sales@menodag.com&gt; wrote:  &gt; &gt; </t>
        </is>
      </c>
      <c r="E448" s="4" t="inlineStr">
        <is>
          <t>66440833</t>
        </is>
      </c>
    </row>
    <row r="449" ht="18" customHeight="1">
      <c r="A449" s="5" t="inlineStr">
        <is>
          <t>malik almutairi &lt;swaik.crash@gmail.com&gt;</t>
        </is>
      </c>
      <c r="B449" s="6" t="inlineStr">
        <is>
          <t>swaik.crash@gmail.com</t>
        </is>
      </c>
      <c r="C449" s="5">
        <f>?utf-8?B?2KfYsdis2Ygg2YXYs9itINmH2LDYpyDYp9mE2KfYs9mFINmE2YQ=?=  =?utf-8?B?2LbYsdmI2LHZhw==?=</f>
        <v/>
      </c>
      <c r="D449" s="5" t="inlineStr">
        <is>
          <t>Hello! How can we help you?  Report قطوه شيرازيه زيتيه- : 65994965   ‫أُرسلت من الـ iPhone‬</t>
        </is>
      </c>
      <c r="E449" s="7" t="inlineStr">
        <is>
          <t>65994965</t>
        </is>
      </c>
    </row>
    <row r="450" ht="18" customHeight="1">
      <c r="A450" s="2" t="inlineStr">
        <is>
          <t>fahad alajmi &lt;fahad098mu@icloud.com&gt;</t>
        </is>
      </c>
      <c r="B450" s="3" t="inlineStr">
        <is>
          <t>fahad098mu@icloud.com</t>
        </is>
      </c>
      <c r="C450" s="2" t="inlineStr"/>
      <c r="D450" s="2" t="inlineStr">
        <is>
          <t>Hello! How can we help you?  Report Samwell tarly : 50223773   ‫أُرسلت من الـ iPhone‬</t>
        </is>
      </c>
      <c r="E450" s="4" t="inlineStr">
        <is>
          <t>50223773</t>
        </is>
      </c>
    </row>
    <row r="451" ht="18" customHeight="1">
      <c r="A451" s="5" t="inlineStr">
        <is>
          <t>fahad alajmi &lt;fahad098mu@icloud.com&gt;</t>
        </is>
      </c>
      <c r="B451" s="6" t="inlineStr">
        <is>
          <t>fahad098mu@icloud.com</t>
        </is>
      </c>
      <c r="C451" s="5" t="inlineStr"/>
      <c r="D451" s="5" t="inlineStr">
        <is>
          <t>Hello! How can we help you?  Report فهد ناصر (عبدالله الخبل) : 50223773   ‫أُرسلت من الـ iPhone‬</t>
        </is>
      </c>
      <c r="E451" s="7" t="inlineStr">
        <is>
          <t>50223773</t>
        </is>
      </c>
    </row>
    <row r="452" ht="18" customHeight="1">
      <c r="A452" s="2" t="inlineStr">
        <is>
          <t>Saad Alotaibi &lt;os221class01boys05@gmail.com&gt;</t>
        </is>
      </c>
      <c r="B452" s="3" t="inlineStr">
        <is>
          <t>os221class01boys05@gmail.com</t>
        </is>
      </c>
      <c r="C452" s="2" t="inlineStr">
        <is>
          <t>Remove</t>
        </is>
      </c>
      <c r="D452" s="2" t="inlineStr">
        <is>
          <t>Hello! How can we help you?  Report SHoOoOTeRQ8Y- : 50685808   Sent from my iPhone</t>
        </is>
      </c>
      <c r="E452" s="4" t="inlineStr">
        <is>
          <t>50685808</t>
        </is>
      </c>
    </row>
    <row r="453" ht="18" customHeight="1">
      <c r="A453" s="5" t="inlineStr">
        <is>
          <t>Saad Alotaibi &lt;os221class01boys05@gmail.com&gt;</t>
        </is>
      </c>
      <c r="B453" s="6" t="inlineStr">
        <is>
          <t>os221class01boys05@gmail.com</t>
        </is>
      </c>
      <c r="C453" s="5" t="inlineStr">
        <is>
          <t>Remove</t>
        </is>
      </c>
      <c r="D453" s="5" t="inlineStr">
        <is>
          <t>Hello! How can we help you?  Report SHOooOTER-Q8y- : 50685808   Sent from my iPhone</t>
        </is>
      </c>
      <c r="E453" s="7" t="inlineStr">
        <is>
          <t>50685808</t>
        </is>
      </c>
    </row>
    <row r="454" ht="18" customHeight="1">
      <c r="A454" s="2" t="inlineStr">
        <is>
          <t>Saad Alotaibi &lt;os221class01boys05@gmail.com&gt;</t>
        </is>
      </c>
      <c r="B454" s="3" t="inlineStr">
        <is>
          <t>os221class01boys05@gmail.com</t>
        </is>
      </c>
      <c r="C454" s="2" t="inlineStr">
        <is>
          <t>Remove</t>
        </is>
      </c>
      <c r="D454" s="2" t="inlineStr">
        <is>
          <t>Hello! How can we help you?  Report BlackThanderz- : 50685808   Sent from my iPhone</t>
        </is>
      </c>
      <c r="E454" s="4" t="inlineStr">
        <is>
          <t>50685808</t>
        </is>
      </c>
    </row>
    <row r="455" ht="18" customHeight="1">
      <c r="A455" s="5" t="inlineStr">
        <is>
          <t>Saad Alotaibi &lt;os221class01boys05@gmail.com&gt;</t>
        </is>
      </c>
      <c r="B455" s="6" t="inlineStr">
        <is>
          <t>os221class01boys05@gmail.com</t>
        </is>
      </c>
      <c r="C455" s="5" t="inlineStr">
        <is>
          <t>Remove</t>
        </is>
      </c>
      <c r="D455" s="5" t="inlineStr">
        <is>
          <t>Hello! How can we help you?  Report SHOooOTER-Q8y : 50685808   Sent from my iPhone</t>
        </is>
      </c>
      <c r="E455" s="7" t="inlineStr">
        <is>
          <t>50685808</t>
        </is>
      </c>
    </row>
    <row r="456" ht="18" customHeight="1">
      <c r="A456" s="2" t="inlineStr">
        <is>
          <t>Saad Alotaibi &lt;os221class01boys05@gmail.com&gt;</t>
        </is>
      </c>
      <c r="B456" s="3" t="inlineStr">
        <is>
          <t>os221class01boys05@gmail.com</t>
        </is>
      </c>
      <c r="C456" s="2" t="inlineStr">
        <is>
          <t>Remove</t>
        </is>
      </c>
      <c r="D456" s="2" t="inlineStr">
        <is>
          <t>Hello! How can we help you?  Report قطوة للتزاوج م سكوتش وكاليكو : 50685808   Sent from my iPhone</t>
        </is>
      </c>
      <c r="E456" s="4" t="inlineStr">
        <is>
          <t>50685808</t>
        </is>
      </c>
    </row>
    <row r="457" ht="18" customHeight="1">
      <c r="A457" s="5" t="inlineStr">
        <is>
          <t>khaled Eid &lt;jaberbo801@icloud.com&gt;</t>
        </is>
      </c>
      <c r="B457" s="6" t="inlineStr">
        <is>
          <t>jaberbo801@icloud.com</t>
        </is>
      </c>
      <c r="C457" s="5">
        <f>?utf-8?B?2KfZhNix2KzYp9ihINit2LjYsSDZh9iw2Kcg2LHZgtmFIDkwOTE3?=  =?utf-8?B?Nzc4INmI2LDZhNmDINmE2Yog2KPYs9io2KfYqCDYudin2KbZhNmK?=  =?utf-8?B?2Kkg2YjYqtis2YbYqCDZhdit2YPZhdipINin2YTZgti22KfYptmK?=  =?utf-8?B?2Kk=?=</f>
        <v/>
      </c>
      <c r="D457" s="5" t="inlineStr">
        <is>
          <t>الرجاء حظر هذا رقم 90917778 وذلك لي أسباب عائلية وتجنب محكمة القضائية  Report ايمان ام جابر- : 90917778   ‫أُرسلت من الـ iPhone‬</t>
        </is>
      </c>
      <c r="E457" s="7" t="inlineStr">
        <is>
          <t>90917778</t>
        </is>
      </c>
    </row>
    <row r="458" ht="18" customHeight="1">
      <c r="A458" s="2" t="inlineStr">
        <is>
          <t>Yahya Alyahya &lt;yahyaalyahya99@icloud.com&gt;</t>
        </is>
      </c>
      <c r="B458" s="3" t="inlineStr">
        <is>
          <t>yahyaalyahya99@icloud.com</t>
        </is>
      </c>
      <c r="C458" s="2" t="inlineStr">
        <is>
          <t xml:space="preserve">This is my number </t>
        </is>
      </c>
      <c r="D458" s="2" t="inlineStr">
        <is>
          <t>Hello! How can we help you?    Can you remove this name ???   Because im facing problems   Report My Future Bae❤️ : 66734585   Sent from my iPhone</t>
        </is>
      </c>
      <c r="E458" s="4" t="inlineStr">
        <is>
          <t>66734585</t>
        </is>
      </c>
    </row>
    <row r="459" ht="18" customHeight="1">
      <c r="A459" s="5" t="inlineStr">
        <is>
          <t>roumiko fps &lt;roumikofps@gmail.com&gt;</t>
        </is>
      </c>
      <c r="B459" s="6" t="inlineStr">
        <is>
          <t>roumikofps@gmail.com</t>
        </is>
      </c>
      <c r="C459" s="5" t="inlineStr">
        <is>
          <t xml:space="preserve">Information removal </t>
        </is>
      </c>
      <c r="D459" s="5" t="inlineStr">
        <is>
          <t xml:space="preserve">Hello! How can we help you?  Report جهاز عيار : 97138387    Please remove information of my phone number in this application </t>
        </is>
      </c>
      <c r="E459" s="7" t="inlineStr">
        <is>
          <t>97138387</t>
        </is>
      </c>
    </row>
    <row r="460" ht="18" customHeight="1">
      <c r="A460" s="2" t="inlineStr">
        <is>
          <t>Haya aldasan &lt;hayaldasan@gmail.com&gt;</t>
        </is>
      </c>
      <c r="B460" s="3" t="inlineStr">
        <is>
          <t>hayaldasan@gmail.com</t>
        </is>
      </c>
      <c r="C460" s="2" t="inlineStr">
        <is>
          <t xml:space="preserve">Re: </t>
        </is>
      </c>
      <c r="D460" s="2" t="inlineStr">
        <is>
          <t xml:space="preserve">﻿ ﻿I wont to blook my number please please   &gt; On 27 Oct 2025, at 10:39 PM, Haya aldasan &lt;hayaldasan@gmail.com&gt; wrote: &gt; ﻿ &gt; Hello! How can we help you? &gt;  &gt; Report cheap : 98899059 &gt;  &gt;  &gt; Sent from my iPhone </t>
        </is>
      </c>
      <c r="E460" s="4" t="inlineStr">
        <is>
          <t>98899059</t>
        </is>
      </c>
    </row>
    <row r="461" ht="18" customHeight="1">
      <c r="A461" s="5" t="inlineStr">
        <is>
          <t>Haya aldasan &lt;hayaldasan@gmail.com&gt;</t>
        </is>
      </c>
      <c r="B461" s="6" t="inlineStr">
        <is>
          <t>hayaldasan@gmail.com</t>
        </is>
      </c>
      <c r="C461" s="5" t="inlineStr"/>
      <c r="D461" s="5" t="inlineStr">
        <is>
          <t>Hello! How can we help you?  Report cheap : 98899059   Sent from my iPhone</t>
        </is>
      </c>
      <c r="E461" s="7" t="inlineStr">
        <is>
          <t>98899059</t>
        </is>
      </c>
    </row>
    <row r="462" ht="18" customHeight="1">
      <c r="A462" s="2" t="inlineStr">
        <is>
          <t>Haya aldasan &lt;hayaldasan@gmail.com&gt;</t>
        </is>
      </c>
      <c r="B462" s="3" t="inlineStr">
        <is>
          <t>hayaldasan@gmail.com</t>
        </is>
      </c>
      <c r="C462" s="2" t="inlineStr"/>
      <c r="D462" s="2" t="inlineStr">
        <is>
          <t>Hello! How can we help you?  Report هيا. بنت اخت دلال : 98899059   Sent from my iPhone</t>
        </is>
      </c>
      <c r="E462" s="4" t="inlineStr">
        <is>
          <t>98899059</t>
        </is>
      </c>
    </row>
    <row r="463" ht="18" customHeight="1">
      <c r="A463" s="5" t="inlineStr">
        <is>
          <t>Haya aldasan &lt;hayaldasan@gmail.com&gt;</t>
        </is>
      </c>
      <c r="B463" s="6" t="inlineStr">
        <is>
          <t>hayaldasan@gmail.com</t>
        </is>
      </c>
      <c r="C463" s="5" t="inlineStr"/>
      <c r="D463" s="5" t="inlineStr">
        <is>
          <t>Hello! How can we help you?  Report تعرق : 98899059   Sent from my iPhone</t>
        </is>
      </c>
      <c r="E463" s="7" t="inlineStr">
        <is>
          <t>98899059</t>
        </is>
      </c>
    </row>
    <row r="464" ht="18" customHeight="1">
      <c r="A464" s="2" t="inlineStr">
        <is>
          <t>Haya aldasan &lt;hayaldasan@gmail.com&gt;</t>
        </is>
      </c>
      <c r="B464" s="3" t="inlineStr">
        <is>
          <t>hayaldasan@gmail.com</t>
        </is>
      </c>
      <c r="C464" s="2" t="inlineStr"/>
      <c r="D464" s="2" t="inlineStr">
        <is>
          <t>Hello! How can we help you?  Report 290022401233 : 98899059   Sent from my iPhone</t>
        </is>
      </c>
      <c r="E464" s="4" t="inlineStr">
        <is>
          <t>98899059</t>
        </is>
      </c>
    </row>
    <row r="465" ht="18" customHeight="1">
      <c r="A465" s="5" t="inlineStr">
        <is>
          <t>Haya aldasan &lt;hayaldasan@gmail.com&gt;</t>
        </is>
      </c>
      <c r="B465" s="6" t="inlineStr">
        <is>
          <t>hayaldasan@gmail.com</t>
        </is>
      </c>
      <c r="C465" s="5" t="inlineStr"/>
      <c r="D465" s="5" t="inlineStr">
        <is>
          <t>Hello! How can we help you?  Report حیه : 98899059   Sent from my iPhone</t>
        </is>
      </c>
      <c r="E465" s="7" t="inlineStr">
        <is>
          <t>98899059</t>
        </is>
      </c>
    </row>
    <row r="466" ht="18" customHeight="1">
      <c r="A466" s="2" t="inlineStr">
        <is>
          <t>Haya aldasan &lt;hayaldasan@gmail.com&gt;</t>
        </is>
      </c>
      <c r="B466" s="3" t="inlineStr">
        <is>
          <t>hayaldasan@gmail.com</t>
        </is>
      </c>
      <c r="C466" s="2" t="inlineStr"/>
      <c r="D466" s="2" t="inlineStr">
        <is>
          <t>Hello! How can we help you?  Report صلاح بنت : 98899059   Sent from my iPhone</t>
        </is>
      </c>
      <c r="E466" s="4" t="inlineStr">
        <is>
          <t>98899059</t>
        </is>
      </c>
    </row>
    <row r="467" ht="18" customHeight="1">
      <c r="A467" s="5" t="inlineStr">
        <is>
          <t>Haya aldasan &lt;hayaldasan@gmail.com&gt;</t>
        </is>
      </c>
      <c r="B467" s="6" t="inlineStr">
        <is>
          <t>hayaldasan@gmail.com</t>
        </is>
      </c>
      <c r="C467" s="5" t="inlineStr"/>
      <c r="D467" s="5" t="inlineStr">
        <is>
          <t>Hello! How can we help you?  Report توصيل من الدسمه لمروش ب 5دك : 98899059   Sent from my iPhone</t>
        </is>
      </c>
      <c r="E467" s="7" t="inlineStr">
        <is>
          <t>98899059</t>
        </is>
      </c>
    </row>
    <row r="468" ht="18" customHeight="1">
      <c r="A468" s="2" t="inlineStr">
        <is>
          <t>Haya aldasan &lt;hayaldasan@gmail.com&gt;</t>
        </is>
      </c>
      <c r="B468" s="3" t="inlineStr">
        <is>
          <t>hayaldasan@gmail.com</t>
        </is>
      </c>
      <c r="C468" s="2" t="inlineStr"/>
      <c r="D468" s="2" t="inlineStr">
        <is>
          <t>Hello! How can we help you?  Report cheap : 98899059   Sent from my iPhone</t>
        </is>
      </c>
      <c r="E468" s="4" t="inlineStr">
        <is>
          <t>98899059</t>
        </is>
      </c>
    </row>
    <row r="469" ht="18" customHeight="1">
      <c r="A469" s="5" t="inlineStr">
        <is>
          <t>Haya aldasan &lt;hayaldasan@gmail.com&gt;</t>
        </is>
      </c>
      <c r="B469" s="6" t="inlineStr">
        <is>
          <t>hayaldasan@gmail.com</t>
        </is>
      </c>
      <c r="C469" s="5" t="inlineStr"/>
      <c r="D469" s="5" t="inlineStr">
        <is>
          <t>Hello! How can we help you?  Report هيا الدعسان رفيجه اخوي : 98899059   Sent from my iPhone</t>
        </is>
      </c>
      <c r="E469" s="7" t="inlineStr">
        <is>
          <t>98899059</t>
        </is>
      </c>
    </row>
    <row r="470" ht="18" customHeight="1">
      <c r="A470" s="2" t="inlineStr">
        <is>
          <t>Haya aldasan &lt;hayaldasan@gmail.com&gt;</t>
        </is>
      </c>
      <c r="B470" s="3" t="inlineStr">
        <is>
          <t>hayaldasan@gmail.com</t>
        </is>
      </c>
      <c r="C470" s="2">
        <f>?utf-8?B?2LfZhNioINit2LDZgSDYsdmC2YU=?=</f>
        <v/>
      </c>
      <c r="D470" s="2" t="inlineStr">
        <is>
          <t>98899059 Sent from my iPhone</t>
        </is>
      </c>
      <c r="E470" s="4" t="inlineStr">
        <is>
          <t>98899059</t>
        </is>
      </c>
    </row>
    <row r="471" ht="18" customHeight="1">
      <c r="A471" s="5" t="inlineStr">
        <is>
          <t>Haya aldasan &lt;hayaldasan@gmail.com&gt;</t>
        </is>
      </c>
      <c r="B471" s="6" t="inlineStr">
        <is>
          <t>hayaldasan@gmail.com</t>
        </is>
      </c>
      <c r="C471" s="5">
        <f>?utf-8?B?2LfZhNioINit2LDZgSDYsdmC2YU=?=</f>
        <v/>
      </c>
      <c r="D471" s="5" t="inlineStr">
        <is>
          <t xml:space="preserve"> Sent from my iPhone</t>
        </is>
      </c>
      <c r="E471" s="7" t="inlineStr"/>
    </row>
    <row r="472" ht="18" customHeight="1">
      <c r="A472" s="2" t="inlineStr">
        <is>
          <t>Wadha Almutairi &lt;wkalmutairi@gmail.com&gt;</t>
        </is>
      </c>
      <c r="B472" s="3" t="inlineStr">
        <is>
          <t>wkalmutairi@gmail.com</t>
        </is>
      </c>
      <c r="C472" s="2">
        <f>?UTF-8?B?UmU6INmF2LHYqtmK2YYg2K/Yp9mB2LnZhw==?=</f>
        <v/>
      </c>
      <c r="D472" s="2" t="inlineStr">
        <is>
          <t xml:space="preserve">السلام عليكم لحد الحين ماتم حجب رقمي؟؟    On Fri, 3 Oct 2025 at 8:14 PM Wadha Almutairi &lt;wkalmutairi@gmail.com&gt; wrote:  &gt; السلام عليكم &gt; &gt; شهر 3 مجدده ودزيتوا اليوم اشتراكك انتهى شلون؟ &gt; &gt; &gt; [image: image0.png] &gt; </t>
        </is>
      </c>
      <c r="E472" s="4" t="inlineStr"/>
    </row>
    <row r="473" ht="18" customHeight="1">
      <c r="A473" s="5" t="inlineStr">
        <is>
          <t>Humoud Al Sabah &lt;humoud67@hotmail.com&gt;</t>
        </is>
      </c>
      <c r="B473" s="6" t="inlineStr">
        <is>
          <t>humoud67@hotmail.com</t>
        </is>
      </c>
      <c r="C473" s="5">
        <f>?utf-8?B?2K3YsNmBIA==?=</f>
        <v/>
      </c>
      <c r="D473" s="5" t="inlineStr">
        <is>
          <t xml:space="preserve">Hello! How can we help you?  Report Wa7ed Thaneee : 50303333 </t>
        </is>
      </c>
      <c r="E473" s="7" t="inlineStr">
        <is>
          <t>50303333</t>
        </is>
      </c>
    </row>
    <row r="474" ht="18" customHeight="1">
      <c r="A474" s="2" t="inlineStr">
        <is>
          <t>Humoud Al Sabah &lt;humoud67@hotmail.com&gt;</t>
        </is>
      </c>
      <c r="B474" s="3" t="inlineStr">
        <is>
          <t>humoud67@hotmail.com</t>
        </is>
      </c>
      <c r="C474" s="2">
        <f>?utf-8?B?2K3YsNmBIA==?=</f>
        <v/>
      </c>
      <c r="D474" s="2" t="inlineStr">
        <is>
          <t xml:space="preserve">Hello! How can we help you?  Report حبيبي ودنيتي : 50303333 </t>
        </is>
      </c>
      <c r="E474" s="4" t="inlineStr">
        <is>
          <t>50303333</t>
        </is>
      </c>
    </row>
    <row r="475" ht="18" customHeight="1">
      <c r="A475" s="5" t="inlineStr">
        <is>
          <t>Yousef Nasser &lt;yousefmn99@gmail.com&gt;</t>
        </is>
      </c>
      <c r="B475" s="6" t="inlineStr">
        <is>
          <t>yousefmn99@gmail.com</t>
        </is>
      </c>
      <c r="C475" s="5" t="inlineStr">
        <is>
          <t xml:space="preserve">Urgent </t>
        </is>
      </c>
      <c r="D475" s="5" t="inlineStr">
        <is>
          <t>Hello! How can we help you?  Please delete the number  Report طيف : 99803626   Sent from my iPhone</t>
        </is>
      </c>
      <c r="E475" s="7" t="inlineStr">
        <is>
          <t>99803626</t>
        </is>
      </c>
    </row>
    <row r="476" ht="18" customHeight="1">
      <c r="A476" s="2" t="inlineStr">
        <is>
          <t>khalid almutairi &lt;5ex@live.com&gt;</t>
        </is>
      </c>
      <c r="B476" s="3" t="inlineStr">
        <is>
          <t>5ex@live.com</t>
        </is>
      </c>
      <c r="C476" s="2">
        <f>?utf-8?B?2YXZh9mFINis2K/Yp9mLINiMICDYudiv2YUg2YbYtNixINmF2LnZhNmI2YU=?=  =?utf-8?B?2KfYqtmKINin2YTYtNiu2LXZitmHIA==?=</f>
        <v/>
      </c>
      <c r="D476" s="2"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476" s="4" t="inlineStr">
        <is>
          <t>65188868</t>
        </is>
      </c>
    </row>
    <row r="477" ht="18" customHeight="1">
      <c r="A477" s="5" t="inlineStr">
        <is>
          <t>khalid almutairi &lt;5ex@live.com&gt;</t>
        </is>
      </c>
      <c r="B477" s="6" t="inlineStr">
        <is>
          <t>5ex@live.com</t>
        </is>
      </c>
      <c r="C477" s="5">
        <f>?utf-8?B?2LDYp9iqINin2YfZhdmK2Yc=?=</f>
        <v/>
      </c>
      <c r="D477" s="5" t="inlineStr">
        <is>
          <t xml:space="preserve">﻿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477" s="7" t="inlineStr">
        <is>
          <t>65188868</t>
        </is>
      </c>
    </row>
    <row r="478" ht="18" customHeight="1">
      <c r="A478" s="2" t="inlineStr">
        <is>
          <t>MAHDI ALAJMI &lt;m_mansoor_mm@icloud.com&gt;</t>
        </is>
      </c>
      <c r="B478" s="3" t="inlineStr">
        <is>
          <t>m_mansoor_mm@icloud.com</t>
        </is>
      </c>
      <c r="C478" s="2" t="inlineStr"/>
      <c r="D478" s="2" t="inlineStr">
        <is>
          <t>Hello! How can we help you?  Report سعودية تبي شقة250 : 94133418   ‫أُرسلت من الـ iPhone‬</t>
        </is>
      </c>
      <c r="E478" s="4" t="inlineStr">
        <is>
          <t>94133418</t>
        </is>
      </c>
    </row>
    <row r="479" ht="18" customHeight="1">
      <c r="A479" s="5" t="inlineStr">
        <is>
          <t>Hussain Alrajhy &lt;hussain.alrajhy@gmail.com&gt;</t>
        </is>
      </c>
      <c r="B479" s="6" t="inlineStr">
        <is>
          <t>hussain.alrajhy@gmail.com</t>
        </is>
      </c>
      <c r="C479" s="5">
        <f>?UTF-8?B?UmU6INmH2KfZhSDYrNiv2KfZiyDYrNiv2KfZiw==?=</f>
        <v/>
      </c>
      <c r="D479" s="5" t="inlineStr">
        <is>
          <t xml:space="preserve">On Mon, 27 Oct 2025 at 5:34 PM Hussain Alrajhy &lt;hussain.alrajhy@gmail.com&gt; wrote:  &gt; استناداً على حقي القانوني بعدم افصاح عن بينات رقمي .. علماً بان لدي كياني &gt; قانوني لايسمح لي بالافصاح عن اي معلومه .. وافصاحكم عن اسمي ورقمي يسبب لي &gt; الأذى والازعاج ، فـ اتمنى من فضلكم وحضراتكم عدم ظهور بيانات رقمي ببرنامجكم &gt; .. حيث انه الاسباب تبرهن علاقتي الوظيفيه بعدم الافصاح مع كامل الشكر &gt; والتقدير والعرفان &gt; &gt; الرقم : 94972258 &gt; </t>
        </is>
      </c>
      <c r="E479" s="7" t="inlineStr">
        <is>
          <t>94972258</t>
        </is>
      </c>
    </row>
    <row r="480" ht="18" customHeight="1">
      <c r="A480" s="2" t="inlineStr">
        <is>
          <t>Yaqoub Almuaili &lt;A8obi@hotmail.com&gt;</t>
        </is>
      </c>
      <c r="B480" s="3" t="inlineStr">
        <is>
          <t>A8obi@hotmail.com</t>
        </is>
      </c>
      <c r="C480" s="2" t="inlineStr"/>
      <c r="D480" s="2" t="inlineStr">
        <is>
          <t xml:space="preserve">Hello! How can we help you?  Report قليل ادب : 65655548  Sent from my iPhone </t>
        </is>
      </c>
      <c r="E480" s="4" t="inlineStr">
        <is>
          <t>65655548</t>
        </is>
      </c>
    </row>
    <row r="481" ht="18" customHeight="1">
      <c r="A481" s="5" t="inlineStr">
        <is>
          <t>Hassan Hazaa &lt;hassanhazaaa@gmail.com&gt;</t>
        </is>
      </c>
      <c r="B481" s="6" t="inlineStr">
        <is>
          <t>hassanhazaaa@gmail.com</t>
        </is>
      </c>
      <c r="C481" s="5">
        <f>?utf-8?B?2KfZhNiz2YTYp9mFINi52YTZitmD2YUg?=</f>
        <v/>
      </c>
      <c r="D481" s="5"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481" s="7" t="inlineStr">
        <is>
          <t>55017017</t>
        </is>
      </c>
    </row>
    <row r="482" ht="18" customHeight="1">
      <c r="A482" s="2" t="inlineStr">
        <is>
          <t>b b &lt;kuw662@outlook.com&gt;</t>
        </is>
      </c>
      <c r="B482" s="3" t="inlineStr">
        <is>
          <t>kuw662@outlook.com</t>
        </is>
      </c>
      <c r="C482" s="2" t="inlineStr"/>
      <c r="D482" s="2" t="inlineStr">
        <is>
          <t xml:space="preserve">Hello! How can we help you?  Report ماتعامل : 55251478  Sent from my iPhone </t>
        </is>
      </c>
      <c r="E482" s="4" t="inlineStr">
        <is>
          <t>55251478</t>
        </is>
      </c>
    </row>
    <row r="483" ht="18" customHeight="1">
      <c r="A483" s="5">
        <f>?utf-8?B?2YXYrdmF2K8g2KfZhNi52YbYstmK?= &lt;malenezi6d6@gmail.com&gt;</f>
        <v/>
      </c>
      <c r="B483" s="6" t="inlineStr">
        <is>
          <t>malenezi6d6@gmail.com</t>
        </is>
      </c>
      <c r="C483" s="5" t="inlineStr"/>
      <c r="D483" s="5" t="inlineStr">
        <is>
          <t>Hello! How can we help you?  ابي احذف الاسم   Report محمد ثواب القزم- : 55288661   ‫أُرسلت من الـ iPhone‬</t>
        </is>
      </c>
      <c r="E483" s="7" t="inlineStr">
        <is>
          <t>55288661</t>
        </is>
      </c>
    </row>
    <row r="484" ht="18" customHeight="1">
      <c r="A484" s="2" t="inlineStr">
        <is>
          <t>Pretty L &lt;tatofa@hotmail.com&gt;</t>
        </is>
      </c>
      <c r="B484" s="3" t="inlineStr">
        <is>
          <t>tatofa@hotmail.com</t>
        </is>
      </c>
      <c r="C484" s="2">
        <f>?utf-8?B?2LTZhNmI2YYg2KfZgtiv2LEg2KfYrtmB2Yog2LHZgtmF2Yo=?=</f>
        <v/>
      </c>
      <c r="D484" s="2" t="inlineStr">
        <is>
          <t xml:space="preserve">Hello! How can we help you?  Sent from my iPhone </t>
        </is>
      </c>
      <c r="E484" s="4" t="inlineStr"/>
    </row>
    <row r="485" ht="18" customHeight="1">
      <c r="A485" s="5" t="inlineStr">
        <is>
          <t>hadeel ahmad &lt;hadooola_9991@icloud.com&gt;</t>
        </is>
      </c>
      <c r="B485" s="6" t="inlineStr">
        <is>
          <t>hadooola_9991@icloud.com</t>
        </is>
      </c>
      <c r="C485" s="5">
        <f>?utf-8?B?INi02YrZhNmIINin2YTYp9iz2YUg2YXYs9it2Ygg?=</f>
        <v/>
      </c>
      <c r="D485" s="5" t="inlineStr">
        <is>
          <t>Hello! How can we help you?  Report ي قطط : 51106022  شيلو الاسم مسحو Sent from my iPhone</t>
        </is>
      </c>
      <c r="E485" s="7" t="inlineStr">
        <is>
          <t>51106022</t>
        </is>
      </c>
    </row>
    <row r="486" ht="18" customHeight="1">
      <c r="A486" s="2" t="inlineStr">
        <is>
          <t>abdulaziz husainan &lt;azizan777@outlook.com&gt;</t>
        </is>
      </c>
      <c r="B486" s="3" t="inlineStr">
        <is>
          <t>azizan777@outlook.com</t>
        </is>
      </c>
      <c r="C486" s="2" t="inlineStr">
        <is>
          <t>This name is not correct; the correct one is Abdulaziz Alhusainan</t>
        </is>
      </c>
      <c r="D486" s="2" t="inlineStr">
        <is>
          <t xml:space="preserve">Hello! How can we help you?  Report ابراهيم نت- : 66142474  This name is not correct; the correct one is Abdulaziz Alhusainan  ‫أُرسلت من الـ iPhone‬ </t>
        </is>
      </c>
      <c r="E486" s="4" t="inlineStr">
        <is>
          <t>66142474</t>
        </is>
      </c>
    </row>
    <row r="487" ht="18" customHeight="1">
      <c r="A487" s="5" t="inlineStr">
        <is>
          <t>abdulaziz husainan &lt;azizan777@outlook.com&gt;</t>
        </is>
      </c>
      <c r="B487" s="6" t="inlineStr">
        <is>
          <t>azizan777@outlook.com</t>
        </is>
      </c>
      <c r="C487" s="5" t="inlineStr">
        <is>
          <t>This name is not correct; the correct one is Abdulaziz Alhusainan</t>
        </is>
      </c>
      <c r="D487" s="5" t="inlineStr">
        <is>
          <t xml:space="preserve">Hello! How can we help you?  Report -ابوزياد : 66142474  This name is not correct; the correct one is Abdulaziz Alhusainan  ‫أُرسلت من الـ iPhone‬ </t>
        </is>
      </c>
      <c r="E487" s="7" t="inlineStr">
        <is>
          <t>66142474</t>
        </is>
      </c>
    </row>
    <row r="488" ht="18" customHeight="1">
      <c r="A488" s="2" t="inlineStr">
        <is>
          <t>abdulaziz husainan &lt;azizan777@outlook.com&gt;</t>
        </is>
      </c>
      <c r="B488" s="3" t="inlineStr">
        <is>
          <t>azizan777@outlook.com</t>
        </is>
      </c>
      <c r="C488" s="2" t="inlineStr">
        <is>
          <t>This name is not correct; the correct one is Abdulaziz Alhusainan</t>
        </is>
      </c>
      <c r="D488" s="2" t="inlineStr">
        <is>
          <t xml:space="preserve">Hello! How can we help you?  Report أبراهيم الغانم- : 66142474  This name is not correct; the correct one is Abdulaziz Alhusainan  ‫أُرسلت من الـ iPhone‬ </t>
        </is>
      </c>
      <c r="E488" s="4" t="inlineStr">
        <is>
          <t>66142474</t>
        </is>
      </c>
    </row>
    <row r="489" ht="18" customHeight="1">
      <c r="A489" s="5" t="inlineStr">
        <is>
          <t>abdulaziz husainan &lt;azizan777@outlook.com&gt;</t>
        </is>
      </c>
      <c r="B489" s="6" t="inlineStr">
        <is>
          <t>azizan777@outlook.com</t>
        </is>
      </c>
      <c r="C489" s="5" t="inlineStr"/>
      <c r="D489" s="5" t="inlineStr">
        <is>
          <t xml:space="preserve">Hello! How can we help you?   This name is not correct; the correct one is Abdulaziz Alhusainan   Report مرح كويت- : 66142474  ‫أُرسلت من الـ iPhone‬ </t>
        </is>
      </c>
      <c r="E489" s="7" t="inlineStr">
        <is>
          <t>66142474</t>
        </is>
      </c>
    </row>
    <row r="490" ht="18" customHeight="1">
      <c r="A490" s="2" t="inlineStr">
        <is>
          <t>Fofo Shosho &lt;fofo.kwt@icloud.com&gt;</t>
        </is>
      </c>
      <c r="B490" s="3" t="inlineStr">
        <is>
          <t>fofo.kwt@icloud.com</t>
        </is>
      </c>
      <c r="C490" s="2">
        <f>?utf-8?B?2YXYsti52KzZitmGIA==?=</f>
        <v/>
      </c>
      <c r="D490" s="2" t="inlineStr">
        <is>
          <t>Hello! How can we help you?  Report متطفلين حسب بلاغات من بلدك KW :    ‫أُرسلت من الـ iPhone‬</t>
        </is>
      </c>
      <c r="E490" s="4" t="inlineStr"/>
    </row>
    <row r="491" ht="18" customHeight="1">
      <c r="A491" s="5" t="inlineStr">
        <is>
          <t>fajer hamad &lt;faldughailbi@outlook.com&gt;</t>
        </is>
      </c>
      <c r="B491" s="6" t="inlineStr">
        <is>
          <t>faldughailbi@outlook.com</t>
        </is>
      </c>
      <c r="C491" s="5">
        <f>?utf-8?B?2K3YsNmB?=</f>
        <v/>
      </c>
      <c r="D491" s="5" t="inlineStr">
        <is>
          <t xml:space="preserve">Hello! How can we help you?  Report فجر احمد كبسوله 12408 : 67009958  Sent from my iPhone </t>
        </is>
      </c>
      <c r="E491" s="7" t="inlineStr">
        <is>
          <t>67009958</t>
        </is>
      </c>
    </row>
    <row r="492" ht="18" customHeight="1">
      <c r="A492" s="2" t="inlineStr">
        <is>
          <t>TTl &lt;n46498283@gmail.com&gt;</t>
        </is>
      </c>
      <c r="B492" s="3" t="inlineStr">
        <is>
          <t>n46498283@gmail.com</t>
        </is>
      </c>
      <c r="C492" s="2" t="inlineStr"/>
      <c r="D492" s="2" t="inlineStr">
        <is>
          <t> </t>
        </is>
      </c>
      <c r="E492" s="4" t="inlineStr"/>
    </row>
    <row r="493" ht="18" customHeight="1">
      <c r="A493" s="5">
        <f>?utf-8?B?2KfZhNmA2YDZgNmA2YDYtdmA2YDZgNmA2YDZiNiqINin2YTZgNmA2YDZgNmA?=  =?utf-8?B?2KzZgNmA2YDZgNmA2LHZitmA2YDZgNmA2YDYrQ==?= &lt;abodi-84@hotmail.com&gt;</f>
        <v/>
      </c>
      <c r="B493" s="6" t="inlineStr">
        <is>
          <t>abodi-84@hotmail.com</t>
        </is>
      </c>
      <c r="C493" s="5">
        <f>?utf-8?B?2K3YsNmBINin2YTYsdmC2YUg2KjYtNmD2YQg2YbZh9in2KbZiiA=?=</f>
        <v/>
      </c>
      <c r="D493" s="5"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493" s="7" t="inlineStr">
        <is>
          <t>52521400</t>
        </is>
      </c>
    </row>
    <row r="494" ht="18" customHeight="1">
      <c r="A494" s="2" t="inlineStr">
        <is>
          <t>saad aldousari &lt;s-m-ald@hotmail.com&gt;</t>
        </is>
      </c>
      <c r="B494" s="3" t="inlineStr">
        <is>
          <t>s-m-ald@hotmail.com</t>
        </is>
      </c>
      <c r="C494" s="2">
        <f>?utf-8?B?2KrYtNmI2YrZhw==?=</f>
        <v/>
      </c>
      <c r="D494" s="2" t="inlineStr">
        <is>
          <t xml:space="preserve">Hello! How can we help you?  Report علي : 94777750  ‫أُرسلت من الـ iPhone‬ </t>
        </is>
      </c>
      <c r="E494" s="4" t="inlineStr">
        <is>
          <t>94777750</t>
        </is>
      </c>
    </row>
    <row r="495" ht="18" customHeight="1">
      <c r="A495" s="5" t="inlineStr">
        <is>
          <t>saad aldousari &lt;s-m-ald@hotmail.com&gt;</t>
        </is>
      </c>
      <c r="B495" s="6" t="inlineStr">
        <is>
          <t>s-m-ald@hotmail.com</t>
        </is>
      </c>
      <c r="C495" s="5">
        <f>?utf-8?B?2KrYtNmI2YrZhyA=?=</f>
        <v/>
      </c>
      <c r="D495" s="5" t="inlineStr">
        <is>
          <t xml:space="preserve">Hello! How can we help you?  Report علي نايف الفضلي : 94777750  ‫أُرسلت من الـ iPhone‬ </t>
        </is>
      </c>
      <c r="E495" s="7" t="inlineStr">
        <is>
          <t>94777750</t>
        </is>
      </c>
    </row>
    <row r="496" ht="18" customHeight="1">
      <c r="A496" s="2">
        <f>?utf-8?B?2LMg2KfZhNi52LHZiNis?= &lt;esehlii01@icloud.com&gt;</f>
        <v/>
      </c>
      <c r="B496" s="3" t="inlineStr">
        <is>
          <t>esehlii01@icloud.com</t>
        </is>
      </c>
      <c r="C496" s="2">
        <f>?utf-8?B?2KfZhNin2LPZhSDYutmK2LEg2YTYp9im2YI=?=</f>
        <v/>
      </c>
      <c r="D496" s="2" t="inlineStr">
        <is>
          <t>Hello! How can we help you?  Report المحزم الخربان : 65556310   ‫أُرسلت من الـ iPhone‬</t>
        </is>
      </c>
      <c r="E496" s="4" t="inlineStr">
        <is>
          <t>65556310</t>
        </is>
      </c>
    </row>
    <row r="497" ht="18" customHeight="1">
      <c r="A497" s="5">
        <f>?utf-8?B?2KfZhNmA2YDZiNiq2YDZgNmK2YDZhg==?= &lt;a.al3nzyaq8@gmail.com&gt;</f>
        <v/>
      </c>
      <c r="B497" s="6" t="inlineStr">
        <is>
          <t>a.al3nzyaq8@gmail.com</t>
        </is>
      </c>
      <c r="C497" s="5">
        <f>?utf-8?Q?=D8=A7=D8=B1=D8=AC=D9=88_=D8=AD=D8=B0=D9=81_=D8=B1?=  =?utf-8?Q?=D9=82=D9=85=D9=8A_=D9=85=D9=86_=D9=85=D9=86=D9=88_?=  =?utf-8?Q?=D8=AF=D8=A7=D9=82_66837847?=</f>
        <v/>
      </c>
      <c r="D497" s="5" t="inlineStr">
        <is>
          <t>Hello! How can we help you?  Report Ahmed Salem Mazda- : 66837847   ‫أُرسلت من الـ iPhone‬</t>
        </is>
      </c>
      <c r="E497" s="7" t="inlineStr">
        <is>
          <t>66837847</t>
        </is>
      </c>
    </row>
    <row r="498" ht="18" customHeight="1">
      <c r="A498" s="2" t="inlineStr">
        <is>
          <t>israa amin &lt;israa1612@yahoo.com&gt;</t>
        </is>
      </c>
      <c r="B498" s="3" t="inlineStr">
        <is>
          <t>israa1612@yahoo.com</t>
        </is>
      </c>
      <c r="C498" s="2" t="inlineStr"/>
      <c r="D498" s="2" t="inlineStr">
        <is>
          <t>Hello! How can we help you?  Report اسراءو اللايثه- : 65889385  Hello please remove this name it’s bad world Sent from my iPhone</t>
        </is>
      </c>
      <c r="E498" s="4" t="inlineStr">
        <is>
          <t>65889385</t>
        </is>
      </c>
    </row>
    <row r="499" ht="18" customHeight="1">
      <c r="A499" s="5" t="inlineStr">
        <is>
          <t>khalid almutairi &lt;5ex@live.com&gt;</t>
        </is>
      </c>
      <c r="B499" s="6" t="inlineStr">
        <is>
          <t>5ex@live.com</t>
        </is>
      </c>
      <c r="C499" s="5">
        <f>?utf-8?B?2KfZhNix2KzYp9ihINi52K/ZhSDYqtis2KfZh9mEINin2YTYp9mF2LEg?=</f>
        <v/>
      </c>
      <c r="D499" s="5"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499" s="7" t="inlineStr">
        <is>
          <t>65188868</t>
        </is>
      </c>
    </row>
    <row r="500" ht="18" customHeight="1">
      <c r="A500" s="2" t="inlineStr">
        <is>
          <t>m6iyr &lt;alm6iry@hotmail.com&gt;</t>
        </is>
      </c>
      <c r="B500" s="3" t="inlineStr">
        <is>
          <t>alm6iry@hotmail.com</t>
        </is>
      </c>
      <c r="C500" s="2">
        <f>?utf-8?B?2YXZh9mFINis2K/Yp9mLINiMICDYudiv2YUg2YbYtNixINmF2LnZhNmI2YU=?=  =?utf-8?B?2KfYqtmKINin2YTYtNiu2LXZitmHIA==?=</f>
        <v/>
      </c>
      <c r="D500" s="2" t="inlineStr">
        <is>
          <t xml:space="preserve">﻿ ﻿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500" s="4" t="inlineStr">
        <is>
          <t>65188868</t>
        </is>
      </c>
    </row>
    <row r="501" ht="18" customHeight="1">
      <c r="A501" s="5" t="inlineStr">
        <is>
          <t>Abdelwahab Alenezi &lt;AmAq8ty@outlook.com&gt;</t>
        </is>
      </c>
      <c r="B501" s="6" t="inlineStr">
        <is>
          <t>AmAq8ty@outlook.com</t>
        </is>
      </c>
      <c r="C501" s="5">
        <f>?utf-8?B?2KfYs9mFINi62YrYsSDZhNin2KbZgiDYqtmFINiq2LPYrNmK2YTZiiDYqNij?=  =?utf-8?B?2LPZhSDZhdi32YTZiNioIA==?=</f>
        <v/>
      </c>
      <c r="D501" s="5" t="inlineStr">
        <is>
          <t xml:space="preserve">Hello! How can we help you?  Report مطلوب- : 97780903  ‫أُرسلت من الـ iPhone‬ </t>
        </is>
      </c>
      <c r="E501" s="7" t="inlineStr">
        <is>
          <t>97780903</t>
        </is>
      </c>
    </row>
    <row r="502" ht="18" customHeight="1">
      <c r="A502" s="2" t="inlineStr">
        <is>
          <t>Mohammed Alazmi &lt;zm7md09@icloud.com&gt;</t>
        </is>
      </c>
      <c r="B502" s="3" t="inlineStr">
        <is>
          <t>zm7md09@icloud.com</t>
        </is>
      </c>
      <c r="C502" s="2">
        <f>?utf-8?B?2LnZhtmI2KfZhiDYqNmK2KrZiiDZiNin2KjZiiDYp9it2LDZgdmH?=</f>
        <v/>
      </c>
      <c r="D502" s="2" t="inlineStr">
        <is>
          <t>Hello! How can we help you?  Report ق7ش12م46 : 56610662   ‫أُرسلت من الـ iPhone‬</t>
        </is>
      </c>
      <c r="E502" s="4" t="inlineStr">
        <is>
          <t>56610662</t>
        </is>
      </c>
    </row>
    <row r="503" ht="18" customHeight="1">
      <c r="A503" s="5" t="inlineStr">
        <is>
          <t>"aljluwi .3" &lt;kuwaitvip550@gmail.com&gt;</t>
        </is>
      </c>
      <c r="B503" s="6" t="inlineStr">
        <is>
          <t>kuwaitvip550@gmail.com</t>
        </is>
      </c>
      <c r="C503" s="5">
        <f>?utf-8?B?2KfZhNix2KzYp9ihINit2LDZgSDZh9iw2Kcg2KfZhNin2LPZhSA=?=</f>
        <v/>
      </c>
      <c r="D503" s="5" t="inlineStr">
        <is>
          <t>Hello! How can we help you?  Report عبدالله فهد الجلوي ولد حسنه : 60625905   ‫أُرسلت من الـ iPhone‬</t>
        </is>
      </c>
      <c r="E503" s="7" t="inlineStr">
        <is>
          <t>60625905</t>
        </is>
      </c>
    </row>
    <row r="504" ht="18" customHeight="1">
      <c r="A504" s="2" t="inlineStr">
        <is>
          <t>fajer hamad &lt;faldughailbi@outlook.com&gt;</t>
        </is>
      </c>
      <c r="B504" s="3" t="inlineStr">
        <is>
          <t>faldughailbi@outlook.com</t>
        </is>
      </c>
      <c r="C504" s="2">
        <f>?utf-8?B?2K3YsNmB?=</f>
        <v/>
      </c>
      <c r="D504" s="2" t="inlineStr">
        <is>
          <t xml:space="preserve">Hello! How can we help you?  Report فجر احمد كبسوله 12408 : 67009958  Sent from my iPhone </t>
        </is>
      </c>
      <c r="E504" s="4" t="inlineStr">
        <is>
          <t>67009958</t>
        </is>
      </c>
    </row>
    <row r="505" ht="18" customHeight="1">
      <c r="A505" s="5" t="inlineStr">
        <is>
          <t>fajer hamad &lt;faldughailbi@outlook.com&gt;</t>
        </is>
      </c>
      <c r="B505" s="6" t="inlineStr">
        <is>
          <t>faldughailbi@outlook.com</t>
        </is>
      </c>
      <c r="C505" s="5">
        <f>?utf-8?B?2K3YsNmB?=</f>
        <v/>
      </c>
      <c r="D505" s="5" t="inlineStr">
        <is>
          <t xml:space="preserve">Hello! How can we help you?  Report ابوفجر عنده معادله بالكلية ويدور وظيفه : 67009958  Sent from my iPhone </t>
        </is>
      </c>
      <c r="E505" s="7" t="inlineStr">
        <is>
          <t>67009958</t>
        </is>
      </c>
    </row>
    <row r="506" ht="18" customHeight="1">
      <c r="A506" s="2" t="inlineStr">
        <is>
          <t>omsalo7@icloud.com</t>
        </is>
      </c>
      <c r="B506" s="3" t="inlineStr">
        <is>
          <t>omsalo7@icloud.com</t>
        </is>
      </c>
      <c r="C506" s="2" t="inlineStr"/>
      <c r="D506" s="2" t="inlineStr">
        <is>
          <t>Hello! How can we help you?   ‫أُرسلت من الـ iPhone‬</t>
        </is>
      </c>
      <c r="E506" s="4" t="inlineStr"/>
    </row>
    <row r="507" ht="18" customHeight="1">
      <c r="A507" s="5" t="inlineStr">
        <is>
          <t>Reem Alhazzaa &lt;reemalhazza@icloud.com&gt;</t>
        </is>
      </c>
      <c r="B507" s="6" t="inlineStr">
        <is>
          <t>reemalhazza@icloud.com</t>
        </is>
      </c>
      <c r="C507" s="5" t="inlineStr"/>
      <c r="D507" s="5" t="inlineStr">
        <is>
          <t>Hello! How can we help you?  Report بتزا قيصر السالمية : 66757526   Sent from my iPhone</t>
        </is>
      </c>
      <c r="E507" s="7" t="inlineStr">
        <is>
          <t>66757526</t>
        </is>
      </c>
    </row>
    <row r="508" ht="18" customHeight="1">
      <c r="A508" s="2" t="inlineStr">
        <is>
          <t>K K &lt;k.alm6iry@hotmail.com&gt;</t>
        </is>
      </c>
      <c r="B508" s="3" t="inlineStr">
        <is>
          <t>k.alm6iry@hotmail.com</t>
        </is>
      </c>
      <c r="C508" s="2">
        <f>?utf-8?B?2KfZhNiz2YTYp9mFINi52YTZitmD2YUg?=</f>
        <v/>
      </c>
      <c r="D508" s="2" t="inlineStr">
        <is>
          <t xml:space="preserve">﻿ ﻿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508" s="4" t="inlineStr">
        <is>
          <t>65188868</t>
        </is>
      </c>
    </row>
    <row r="509" ht="18" customHeight="1">
      <c r="A509" s="5" t="inlineStr">
        <is>
          <t>khalid almutairi &lt;5ex@live.com&gt;</t>
        </is>
      </c>
      <c r="B509" s="6" t="inlineStr">
        <is>
          <t>5ex@live.com</t>
        </is>
      </c>
      <c r="C509" s="5">
        <f>?utf-8?B?2YXZh9mFINis2K/Yp9mLINiMICDYudiv2YUg2YbYtNixINmF2LnZhNmI2YU=?=  =?utf-8?B?2KfYqtmKINin2YTYtNiu2LXZitmHIA==?=</f>
        <v/>
      </c>
      <c r="D509" s="5"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09" s="7" t="inlineStr">
        <is>
          <t>65188868</t>
        </is>
      </c>
    </row>
    <row r="510" ht="18" customHeight="1">
      <c r="A510" s="2" t="inlineStr">
        <is>
          <t>Shahad Ali &lt;klakchik@hotmail.com&gt;</t>
        </is>
      </c>
      <c r="B510" s="3" t="inlineStr">
        <is>
          <t>klakchik@hotmail.com</t>
        </is>
      </c>
      <c r="C510" s="2">
        <f>?utf-8?B?UmVwb3J0INi02YfYryDYrtin2YrZhtmHINiy2YjYrNmH2Kcg2YPYqNiz2Ycg?=  =?utf-8?B?2YXYrtmB2LEgOiA1MjUyNTkwNyAgUmVtb3ZlIHRoaXMgbmFtZSB1bmRlciB0?=  =?utf-8?B?aGlzIG51bWJlciAgIEl04oCZcyBpbnN1bHRpbmcgYW5kIGh1bWlsaWF0aW5n?=  =?utf-8?Q?!!?=</f>
        <v/>
      </c>
      <c r="D510" s="2" t="inlineStr">
        <is>
          <t xml:space="preserve">Hello! How can we help you?  Report شهد خاينه زوجها كبسه مخفر : 52525907  Remove this name under this number  It’s insulting and humiliating!!  Pls remove this name from this number it’s again the rules Sent from my iPhone </t>
        </is>
      </c>
      <c r="E510" s="4" t="inlineStr">
        <is>
          <t>52525907</t>
        </is>
      </c>
    </row>
    <row r="511" ht="18" customHeight="1">
      <c r="A511" s="5" t="inlineStr">
        <is>
          <t>Shahad Ali &lt;klakchik@hotmail.com&gt;</t>
        </is>
      </c>
      <c r="B511" s="6" t="inlineStr">
        <is>
          <t>klakchik@hotmail.com</t>
        </is>
      </c>
      <c r="C511" s="5">
        <f>?utf-8?B?UmVwb3J0INi02YfYryBXaWZlIENoZWF0ZXIg2YPYqNiz2YcgOiA1MjUyNTkw?=  =?utf-8?B?NyBSZW1vdmUgdGhpcyBuYW1lIHVuZGVyIHRoaXMgbnVtYmVyICBJdOKAmXMg?=  =?utf-8?Q?insulting_and_humiliating!!_?=</f>
        <v/>
      </c>
      <c r="D511" s="5" t="inlineStr">
        <is>
          <t xml:space="preserve">Hello! How can we help you?  Report شهد Wife Cheater كبسه : 52525907  Remove this name under this number  It’s insulting and humiliating!!  This is against the rules pls remove this name from this number. Sent from my iPhone </t>
        </is>
      </c>
      <c r="E511" s="7" t="inlineStr">
        <is>
          <t>52525907</t>
        </is>
      </c>
    </row>
    <row r="512" ht="18" customHeight="1">
      <c r="A512" s="2" t="inlineStr">
        <is>
          <t>Shahad Ali &lt;klakchik@hotmail.com&gt;</t>
        </is>
      </c>
      <c r="B512" s="3" t="inlineStr">
        <is>
          <t>klakchik@hotmail.com</t>
        </is>
      </c>
      <c r="C512" s="2">
        <f>?utf-8?B?UmVwb3J0INi02YfYr9iu2KfZitmG2Ycg2LLZiNis2YfYpyDZg9io2LPZhyA=?=  =?utf-8?B?2YXYrtmB2LEgOiA1MjUyNTkwNyAgUmVtb3ZlIHRoaXMgbmFtZSB1bmRlciB0?=  =?utf-8?B?aGlzIG51bWJlciAgSXTigJlzIGluc3VsdGluZyBhbmQgaHVtaWxpYXRpbmch?=  =?utf-8?Q?!_?=</f>
        <v/>
      </c>
      <c r="D512" s="2" t="inlineStr">
        <is>
          <t xml:space="preserve">Hello! How can we help you?  Report شهد خاينه زوجها كبسه مخفر : 52525907  Report شهدخاينه زوجها كبسه مخفر : 52525907  Remove this name under this number It’s insulting and humiliating!!  Pls remove this name from this number it’s again the rules Sent from my iPhone </t>
        </is>
      </c>
      <c r="E512" s="4" t="inlineStr">
        <is>
          <t>52525907</t>
        </is>
      </c>
    </row>
    <row r="513" ht="18" customHeight="1">
      <c r="A513" s="5" t="inlineStr">
        <is>
          <t>Shahad Ali &lt;klakchik@hotmail.com&gt;</t>
        </is>
      </c>
      <c r="B513" s="6" t="inlineStr">
        <is>
          <t>klakchik@hotmail.com</t>
        </is>
      </c>
      <c r="C513" s="5">
        <f>?utf-8?B?UmVwb3J0INi02YfYr9iu2KfZitmG2Ycg2LLZiNis2YfYpyDZg9io2LPZhyA=?=  =?utf-8?B?2YXYrtmB2LEgOiA1MjUyNTkwNyAgUmVtb3ZlIHRoaXMgbmFtZSB1bmRlciB0?=  =?utf-8?B?aGlzIG51bWJlciAgSXTigJlzIGluc3VsdGluZyBhbmQgaHVtaWxpYXRpbmch?=  =?utf-8?Q?!_?=</f>
        <v/>
      </c>
      <c r="D513" s="5" t="inlineStr">
        <is>
          <t xml:space="preserve">Hello! How can we help you?  Report شهدخاينه زوجها كبسه مخفر : 52525907  Remove this name under this number It’s insulting and humiliating!! This is against the rules Sent from my iPhone </t>
        </is>
      </c>
      <c r="E513" s="7" t="inlineStr">
        <is>
          <t>52525907</t>
        </is>
      </c>
    </row>
    <row r="514" ht="18" customHeight="1">
      <c r="A514" s="2" t="inlineStr">
        <is>
          <t>Talal Alfadhli &lt;t_alfadhli@hotmail.com&gt;</t>
        </is>
      </c>
      <c r="B514" s="3" t="inlineStr">
        <is>
          <t>t_alfadhli@hotmail.com</t>
        </is>
      </c>
      <c r="C514" s="2" t="inlineStr"/>
      <c r="D514" s="2" t="inlineStr">
        <is>
          <t xml:space="preserve">Hello! How can we help you?  Report طلال مكتب الوكيل رائد الفي- : 97166566  Sent from my iPhone </t>
        </is>
      </c>
      <c r="E514" s="4" t="inlineStr">
        <is>
          <t>97166566</t>
        </is>
      </c>
    </row>
    <row r="515" ht="18" customHeight="1">
      <c r="A515" s="5" t="inlineStr">
        <is>
          <t>"aliarab276@hotmail.com" &lt;aliarab276@hotmail.com&gt;</t>
        </is>
      </c>
      <c r="B515" s="6" t="inlineStr">
        <is>
          <t>aliarab276@hotmail.com</t>
        </is>
      </c>
      <c r="C515" s="5" t="inlineStr"/>
      <c r="D515" s="5" t="inlineStr">
        <is>
          <t xml:space="preserve">Hello! How can we help you?  Report طلال مكتب الوكيل رائد الفي- : 97166566  Sent from my iPhone </t>
        </is>
      </c>
      <c r="E515" s="7" t="inlineStr">
        <is>
          <t>97166566</t>
        </is>
      </c>
    </row>
    <row r="516" ht="18" customHeight="1">
      <c r="A516" s="2" t="inlineStr">
        <is>
          <t>Abdullwahab Alabdullah &lt;alabdullahabdullwahab@gmail.com&gt;</t>
        </is>
      </c>
      <c r="B516" s="3" t="inlineStr">
        <is>
          <t>alabdullahabdullwahab@gmail.com</t>
        </is>
      </c>
      <c r="C516" s="2" t="inlineStr"/>
      <c r="D516" s="2" t="inlineStr">
        <is>
          <t>Hello! How can we help you?  Report طلال مكتب الوكيل رائد الفي- : 97166566   Sent from my iPhone</t>
        </is>
      </c>
      <c r="E516" s="4" t="inlineStr">
        <is>
          <t>97166566</t>
        </is>
      </c>
    </row>
    <row r="517" ht="18" customHeight="1">
      <c r="A517" s="5">
        <f>?utf-8?B?2YjYp9it2K8gYWxhbGFs?= &lt;windows_q82@hotmail.com&gt;</f>
        <v/>
      </c>
      <c r="B517" s="6" t="inlineStr">
        <is>
          <t>windows_q82@hotmail.com</t>
        </is>
      </c>
      <c r="C517" s="5" t="inlineStr"/>
      <c r="D517" s="5" t="inlineStr">
        <is>
          <t xml:space="preserve">Hello! How can we help you?  Report طلال مكتب الوكيل رائد الفي- : 97166566  Sent from my iPhone </t>
        </is>
      </c>
      <c r="E517" s="7" t="inlineStr">
        <is>
          <t>97166566</t>
        </is>
      </c>
    </row>
    <row r="518" ht="18" customHeight="1">
      <c r="A518" s="2" t="inlineStr">
        <is>
          <t>Windows Windows &lt;iphone_2140@icloud.com&gt;</t>
        </is>
      </c>
      <c r="B518" s="3" t="inlineStr">
        <is>
          <t>iphone_2140@icloud.com</t>
        </is>
      </c>
      <c r="C518" s="2" t="inlineStr"/>
      <c r="D518" s="2" t="inlineStr">
        <is>
          <t>Hello! How can we help you?  Report طلال مكتب الوكيل رائد الفي- : 97166566   Sent from my iPhone</t>
        </is>
      </c>
      <c r="E518" s="4" t="inlineStr">
        <is>
          <t>97166566</t>
        </is>
      </c>
    </row>
    <row r="519" ht="18" customHeight="1">
      <c r="A519" s="5" t="inlineStr">
        <is>
          <t>Ali Alqallaf &lt;aalqallaf271@gmail.com&gt;</t>
        </is>
      </c>
      <c r="B519" s="6" t="inlineStr">
        <is>
          <t>aalqallaf271@gmail.com</t>
        </is>
      </c>
      <c r="C519" s="5" t="inlineStr"/>
      <c r="D519" s="5" t="inlineStr">
        <is>
          <t>Hello! How can we help you?  Report الزهراء قطعه 5 شارع 501 منزل 25 الدور الثاني : 50003113   Sent from my iPhone</t>
        </is>
      </c>
      <c r="E519" s="7" t="inlineStr">
        <is>
          <t>50003113</t>
        </is>
      </c>
    </row>
    <row r="520" ht="18" customHeight="1">
      <c r="A520" s="2">
        <f>?utf-8?B?2K7Yp9mE2K8g2KfZhNmF2LfZitix2Yo=?= &lt;k99689520@gmail.com&gt;</f>
        <v/>
      </c>
      <c r="B520" s="3" t="inlineStr">
        <is>
          <t>k99689520@gmail.com</t>
        </is>
      </c>
      <c r="C520" s="2" t="inlineStr"/>
      <c r="D520" s="2" t="inlineStr">
        <is>
          <t>Hello! How can we help you?  Report خالد تزوير : 99689520   ‫أُرسلت من الـ iPhone‬</t>
        </is>
      </c>
      <c r="E520" s="4" t="inlineStr">
        <is>
          <t>99689520</t>
        </is>
      </c>
    </row>
    <row r="521" ht="18" customHeight="1">
      <c r="A521" s="5">
        <f>?utf-8?B?2K7Yp9mE2K8g2KfZhNmF2LfZitix2Yo=?= &lt;k99689520@gmail.com&gt;</f>
        <v/>
      </c>
      <c r="B521" s="6" t="inlineStr">
        <is>
          <t>k99689520@gmail.com</t>
        </is>
      </c>
      <c r="C521" s="5" t="inlineStr"/>
      <c r="D521" s="5" t="inlineStr">
        <is>
          <t>Hello! How can we help you?  Report خالد المتعب/ب المركزي : 99689520   ‫أُرسلت من الـ iPhone‬</t>
        </is>
      </c>
      <c r="E521" s="7" t="inlineStr">
        <is>
          <t>99689520</t>
        </is>
      </c>
    </row>
    <row r="522" ht="18" customHeight="1">
      <c r="A522" s="2">
        <f>?utf-8?B?2K7Yp9mE2K8g2KfZhNmF2LfZitix2Yo=?= &lt;k99689520@gmail.com&gt;</f>
        <v/>
      </c>
      <c r="B522" s="3" t="inlineStr">
        <is>
          <t>k99689520@gmail.com</t>
        </is>
      </c>
      <c r="C522" s="2" t="inlineStr"/>
      <c r="D522" s="2" t="inlineStr">
        <is>
          <t>Hello! How can we help you?  Report خالد المتعب/ب المركزي : 99689520   ‫أُرسلت من الـ iPhone‬</t>
        </is>
      </c>
      <c r="E522" s="4" t="inlineStr">
        <is>
          <t>99689520</t>
        </is>
      </c>
    </row>
    <row r="523" ht="18" customHeight="1">
      <c r="A523" s="5">
        <f>?utf-8?B?2K7Yp9mE2K8g2KfZhNmF2LfZitix2Yo=?= &lt;k99689520@gmail.com&gt;</f>
        <v/>
      </c>
      <c r="B523" s="6" t="inlineStr">
        <is>
          <t>k99689520@gmail.com</t>
        </is>
      </c>
      <c r="C523" s="5" t="inlineStr"/>
      <c r="D523" s="5" t="inlineStr">
        <is>
          <t>Hello! How can we help you?  Report خالد المطيري المركزي : 99689520   ‫أُرسلت من الـ iPhone‬</t>
        </is>
      </c>
      <c r="E523" s="7" t="inlineStr">
        <is>
          <t>99689520</t>
        </is>
      </c>
    </row>
    <row r="524" ht="18" customHeight="1">
      <c r="A524" s="2">
        <f>?utf-8?B?2K7Yp9mE2K8g2KfZhNmF2LfZitix2Yo=?= &lt;k99689520@gmail.com&gt;</f>
        <v/>
      </c>
      <c r="B524" s="3" t="inlineStr">
        <is>
          <t>k99689520@gmail.com</t>
        </is>
      </c>
      <c r="C524" s="2" t="inlineStr"/>
      <c r="D524" s="2" t="inlineStr">
        <is>
          <t>Hello! How can we help you?  Report خالد المطيري المركزي : 99689520   ‫أُرسلت من الـ iPhone‬</t>
        </is>
      </c>
      <c r="E524" s="4" t="inlineStr">
        <is>
          <t>99689520</t>
        </is>
      </c>
    </row>
    <row r="525" ht="18" customHeight="1">
      <c r="A525" s="5">
        <f>?utf-8?B?2K7Yp9mE2K8g2KfZhNmF2LfZitix2Yo=?= &lt;k99689520@gmail.com&gt;</f>
        <v/>
      </c>
      <c r="B525" s="6" t="inlineStr">
        <is>
          <t>k99689520@gmail.com</t>
        </is>
      </c>
      <c r="C525" s="5" t="inlineStr"/>
      <c r="D525" s="5" t="inlineStr">
        <is>
          <t>Hello! How can we help you?  Report خالد المتعب ب المركزي : 99689520   ‫أُرسلت من الـ iPhone‬</t>
        </is>
      </c>
      <c r="E525" s="7" t="inlineStr">
        <is>
          <t>99689520</t>
        </is>
      </c>
    </row>
    <row r="526" ht="18" customHeight="1">
      <c r="A526" s="2">
        <f>?utf-8?B?2K7Yp9mE2K8g2KfZhNmF2LfZitix2Yo=?= &lt;k99689520@gmail.com&gt;</f>
        <v/>
      </c>
      <c r="B526" s="3" t="inlineStr">
        <is>
          <t>k99689520@gmail.com</t>
        </is>
      </c>
      <c r="C526" s="2" t="inlineStr"/>
      <c r="D526" s="2" t="inlineStr">
        <is>
          <t>Hello! How can we help you?  Report متطفلين حسب بلاغات من بلدك KW :   ‫أُرسلت من الـ iPhone‬</t>
        </is>
      </c>
      <c r="E526" s="4" t="inlineStr"/>
    </row>
    <row r="527" ht="18" customHeight="1">
      <c r="A527" s="5">
        <f>?utf-8?B?2K7Yp9mE2K8g2KfZhNmF2LfZitix2Yo=?= &lt;k99689520@gmail.com&gt;</f>
        <v/>
      </c>
      <c r="B527" s="6" t="inlineStr">
        <is>
          <t>k99689520@gmail.com</t>
        </is>
      </c>
      <c r="C527" s="5" t="inlineStr"/>
      <c r="D527" s="5" t="inlineStr">
        <is>
          <t>Hello! How can we help you?  Report متطفلين حسب بلاغات من بلدك KW :   ‫أُرسلت من الـ iPhone‬</t>
        </is>
      </c>
      <c r="E527" s="7" t="inlineStr"/>
    </row>
    <row r="528" ht="18" customHeight="1">
      <c r="A528" s="2">
        <f>?utf-8?B?2K7Yp9mE2K8g2KfZhNmF2LfZitix2Yo=?= &lt;k99689520@gmail.com&gt;</f>
        <v/>
      </c>
      <c r="B528" s="3" t="inlineStr">
        <is>
          <t>k99689520@gmail.com</t>
        </is>
      </c>
      <c r="C528" s="2" t="inlineStr"/>
      <c r="D528" s="2" t="inlineStr">
        <is>
          <t>Hello! How can we help you?  Report خالد تزوير : 99689520   ‫أُرسلت من الـ iPhone‬</t>
        </is>
      </c>
      <c r="E528" s="4" t="inlineStr">
        <is>
          <t>99689520</t>
        </is>
      </c>
    </row>
    <row r="529" ht="18" customHeight="1">
      <c r="A529" s="5">
        <f>?utf-8?B?2K7Yp9mE2K8g2KfZhNmF2LfZitix2Yo=?= &lt;k99689520@gmail.com&gt;</f>
        <v/>
      </c>
      <c r="B529" s="6" t="inlineStr">
        <is>
          <t>k99689520@gmail.com</t>
        </is>
      </c>
      <c r="C529" s="5" t="inlineStr"/>
      <c r="D529" s="5" t="inlineStr">
        <is>
          <t>Hello! How can we help you?  Report خالد المتعب/ب المركزي : 99689520   ‫أُرسلت من الـ iPhone‬</t>
        </is>
      </c>
      <c r="E529" s="7" t="inlineStr">
        <is>
          <t>99689520</t>
        </is>
      </c>
    </row>
    <row r="530" ht="18" customHeight="1">
      <c r="A530" s="2">
        <f>?utf-8?B?2K7Yp9mE2K8g2KfZhNmF2LfZitix2Yo=?= &lt;k99689520@gmail.com&gt;</f>
        <v/>
      </c>
      <c r="B530" s="3" t="inlineStr">
        <is>
          <t>k99689520@gmail.com</t>
        </is>
      </c>
      <c r="C530" s="2" t="inlineStr"/>
      <c r="D530" s="2" t="inlineStr">
        <is>
          <t>Hello! How can we help you?  Report خالد المتعب ب المركزي : 99689520   ‫أُرسلت من الـ iPhone‬</t>
        </is>
      </c>
      <c r="E530" s="4" t="inlineStr">
        <is>
          <t>99689520</t>
        </is>
      </c>
    </row>
    <row r="531" ht="18" customHeight="1">
      <c r="A531" s="5">
        <f>?utf-8?B?2K7Yp9mE2K8g2KfZhNmF2LfZitix2Yo=?= &lt;k99689520@gmail.com&gt;</f>
        <v/>
      </c>
      <c r="B531" s="6" t="inlineStr">
        <is>
          <t>k99689520@gmail.com</t>
        </is>
      </c>
      <c r="C531" s="5" t="inlineStr"/>
      <c r="D531" s="5" t="inlineStr">
        <is>
          <t>Hello! How can we help you?  Report خالد تزوير : 99689520   ‫أُرسلت من الـ iPhone‬</t>
        </is>
      </c>
      <c r="E531" s="7" t="inlineStr">
        <is>
          <t>99689520</t>
        </is>
      </c>
    </row>
    <row r="532" ht="18" customHeight="1">
      <c r="A532" s="2" t="inlineStr">
        <is>
          <t>M A &lt;m7md855@icloud.com&gt;</t>
        </is>
      </c>
      <c r="B532" s="3" t="inlineStr">
        <is>
          <t>m7md855@icloud.com</t>
        </is>
      </c>
      <c r="C532" s="2">
        <f>?utf-8?B?UmU6INin2LHYrNmIINit2LDZgSDYrNmF2YrYuSDYp9mE2KfYs9mF?=  =?utf-8?B?2KfYoSDZiNin2YTYp9ix2YLYp9mFINiq2YPYsdmF2Kc=?=</f>
        <v/>
      </c>
      <c r="D532" s="2" t="inlineStr">
        <is>
          <t xml:space="preserve">حذف اسم ورقم  &gt; ‫في 23‏/10‏/2025 الساعة 16:49، كتب/كتبت ‏M A ‏&lt;m7md855@icloud.com&gt;:‬ &gt;  &gt; ﻿ &gt; Hello! How can we help you? &gt;  &gt;  &gt;  &gt; ارجو حذف جميع الاسماء والارقام تكرما &gt;  &gt;  &gt;  &gt; Report عبدالله محمد طحوس- : 55558483 &gt;  </t>
        </is>
      </c>
      <c r="E532" s="4" t="inlineStr">
        <is>
          <t>55558483</t>
        </is>
      </c>
    </row>
    <row r="533" ht="18" customHeight="1">
      <c r="A533" s="5" t="inlineStr">
        <is>
          <t>salim kuwait &lt;salimkuwait009@gmail.com&gt;</t>
        </is>
      </c>
      <c r="B533" s="6" t="inlineStr">
        <is>
          <t>salimkuwait009@gmail.com</t>
        </is>
      </c>
      <c r="C533" s="5" t="inlineStr">
        <is>
          <t>Not good</t>
        </is>
      </c>
      <c r="D533" s="5" t="inlineStr">
        <is>
          <t>Hello! How can we help you?  Report سالم عبدالله الملعبي- : 51494973   ‫أُرسلت من الـ iPhone‬</t>
        </is>
      </c>
      <c r="E533" s="7" t="inlineStr">
        <is>
          <t>51494973</t>
        </is>
      </c>
    </row>
    <row r="534" ht="18" customHeight="1">
      <c r="A534" s="2" t="inlineStr">
        <is>
          <t>salim kuwait &lt;salimkuwait009@gmail.com&gt;</t>
        </is>
      </c>
      <c r="B534" s="3" t="inlineStr">
        <is>
          <t>salimkuwait009@gmail.com</t>
        </is>
      </c>
      <c r="C534" s="2" t="inlineStr">
        <is>
          <t>Not good</t>
        </is>
      </c>
      <c r="D534" s="2" t="inlineStr">
        <is>
          <t>Hello! How can we help you?  Report سالم عبدالله الملعبي- : 51494973   ‫أُرسلت من الـ iPhone‬</t>
        </is>
      </c>
      <c r="E534" s="4" t="inlineStr">
        <is>
          <t>51494973</t>
        </is>
      </c>
    </row>
    <row r="535" ht="18" customHeight="1">
      <c r="A535" s="5" t="inlineStr">
        <is>
          <t>Sara kb &lt;sarouch.197@hotmail.com&gt;</t>
        </is>
      </c>
      <c r="B535" s="6" t="inlineStr">
        <is>
          <t>sarouch.197@hotmail.com</t>
        </is>
      </c>
      <c r="C535" s="5" t="inlineStr"/>
      <c r="D535" s="5" t="inlineStr">
        <is>
          <t xml:space="preserve">Hello! How can we help you?  Report ساره مابعرف مين : 67000540  Sent from my iPhone </t>
        </is>
      </c>
      <c r="E535" s="7" t="inlineStr">
        <is>
          <t>67000540</t>
        </is>
      </c>
    </row>
    <row r="536" ht="18" customHeight="1">
      <c r="A536" s="2" t="inlineStr">
        <is>
          <t>sager alsager &lt;sager123123@live.com&gt;</t>
        </is>
      </c>
      <c r="B536" s="3" t="inlineStr">
        <is>
          <t>sager123123@live.com</t>
        </is>
      </c>
      <c r="C536" s="2" t="inlineStr"/>
      <c r="D536" s="2" t="inlineStr">
        <is>
          <t xml:space="preserve">Hello! How can we help you?  Report جود الصقر : 60069711  Sent from my iPhone </t>
        </is>
      </c>
      <c r="E536" s="4" t="inlineStr">
        <is>
          <t>60069711</t>
        </is>
      </c>
    </row>
    <row r="537" ht="18" customHeight="1">
      <c r="A537" s="5" t="inlineStr">
        <is>
          <t>sager alsager &lt;sager123123@live.com&gt;</t>
        </is>
      </c>
      <c r="B537" s="6" t="inlineStr">
        <is>
          <t>sager123123@live.com</t>
        </is>
      </c>
      <c r="C537" s="5" t="inlineStr"/>
      <c r="D537" s="5" t="inlineStr">
        <is>
          <t xml:space="preserve">Hello! How can we help you?  Report Kaka-Ali : 60069711  Sent from my iPhone </t>
        </is>
      </c>
      <c r="E537" s="7" t="inlineStr">
        <is>
          <t>60069711</t>
        </is>
      </c>
    </row>
    <row r="538" ht="18" customHeight="1">
      <c r="A538" s="2" t="inlineStr">
        <is>
          <t>Soso Aldabbouss &lt;sosoaldabbouss@gmail.com&gt;</t>
        </is>
      </c>
      <c r="B538" s="3" t="inlineStr">
        <is>
          <t>sosoaldabbouss@gmail.com</t>
        </is>
      </c>
      <c r="C538" s="2">
        <f>?utf-8?B?2LfZhNioINit2LDZgSDYsdmC2YU=?=</f>
        <v/>
      </c>
      <c r="D538" s="2" t="inlineStr">
        <is>
          <t>﻿ السلام عليكم   الرجاء حذف العنوان المسجل تحت رقمي وهالمعلومة تخترق الخصوصية !!   الرقم : 66911108   وكذلك لمبة حمام و اسم سلوى عبدالهادي الفضلي  و bo mesk المسجل تحت رقمي   شكرا لتعاونكم</t>
        </is>
      </c>
      <c r="E538" s="4" t="inlineStr">
        <is>
          <t>66911108</t>
        </is>
      </c>
    </row>
    <row r="539" ht="18" customHeight="1">
      <c r="A539" s="5" t="inlineStr">
        <is>
          <t>Soso Aldabbouss &lt;sosoaldabbouss@gmail.com&gt;</t>
        </is>
      </c>
      <c r="B539" s="6" t="inlineStr">
        <is>
          <t>sosoaldabbouss@gmail.com</t>
        </is>
      </c>
      <c r="C539" s="5">
        <f>?utf-8?B?2LfZhNioINit2LDZgSDYsdmC2YU=?=</f>
        <v/>
      </c>
      <c r="D539" s="5" t="inlineStr">
        <is>
          <t>السلام عليكم   الرجاء حذف العنوان المسجل تحت رقمي وهالمعلومة تخترق الخصوصية !!   الرقم : 66911108   وكذلك لمبة حمام و اسم سلوى عبدالهادي الفضلي  و bo mesk المسجل تحت رقمي   شكرا لتعاونكم</t>
        </is>
      </c>
      <c r="E539" s="7" t="inlineStr">
        <is>
          <t>66911108</t>
        </is>
      </c>
    </row>
    <row r="540" ht="18" customHeight="1">
      <c r="A540" s="2" t="inlineStr">
        <is>
          <t>Ritaj Alessa &lt;ritaj0733@gmail.com&gt;</t>
        </is>
      </c>
      <c r="B540" s="3" t="inlineStr">
        <is>
          <t>ritaj0733@gmail.com</t>
        </is>
      </c>
      <c r="C540" s="2" t="inlineStr">
        <is>
          <t>Delete all data</t>
        </is>
      </c>
      <c r="D540" s="2" t="inlineStr">
        <is>
          <t xml:space="preserve">Hello  I ask that you delete all data related to my number from your system, including names and any associated information, and cancel any linking or display of the number when searching.  This is an official request to permanently delete my data and prevent it from being used or displayed in the future.  My number is: 99558090  Please confirm the deletion after implementation.  Thank you for your cooperation   </t>
        </is>
      </c>
      <c r="E540" s="4" t="inlineStr">
        <is>
          <t>99558090</t>
        </is>
      </c>
    </row>
    <row r="541" ht="18" customHeight="1">
      <c r="A541" s="5">
        <f>?utf-8?B?2YXYrdmF2K8g2KfZhNmE2YXZiti5?= &lt;m7amad.almee@hotmail.com&gt;</f>
        <v/>
      </c>
      <c r="B541" s="6" t="inlineStr">
        <is>
          <t>m7amad.almee@hotmail.com</t>
        </is>
      </c>
      <c r="C541" s="5">
        <f>?utf-8?B?2K3YsNmBINin2YTYp9iz2YUg2YfYsNinINmF2YYg2KfZhNio2LHZhtin2YU=?=  =?utf-8?B?2Kwg?=</f>
        <v/>
      </c>
      <c r="D541" s="5" t="inlineStr">
        <is>
          <t xml:space="preserve">Hello! How can we help you?  Report العبد بو ابرار- : 97466999  ‫أُرسلت من الـ iPhone‬ </t>
        </is>
      </c>
      <c r="E541" s="7" t="inlineStr">
        <is>
          <t>97466999</t>
        </is>
      </c>
    </row>
    <row r="542" ht="18" customHeight="1">
      <c r="A542" s="2" t="inlineStr">
        <is>
          <t>moshkan taqi &lt;moshkantaqi@gmail.com&gt;</t>
        </is>
      </c>
      <c r="B542" s="3" t="inlineStr">
        <is>
          <t>moshkantaqi@gmail.com</t>
        </is>
      </c>
      <c r="C542" s="2">
        <f>?utf-8?B?2LfZhNioINit2LDZgSDYp9iz2YU=?=</f>
        <v/>
      </c>
      <c r="D542" s="2" t="inlineStr">
        <is>
          <t>Please contact me regarding my name Regards,  Moshkan Taqi</t>
        </is>
      </c>
      <c r="E542" s="4" t="inlineStr"/>
    </row>
    <row r="543" ht="18" customHeight="1">
      <c r="A543" s="5" t="inlineStr">
        <is>
          <t>moshkan taqi &lt;moshkantaqi@gmail.com&gt;</t>
        </is>
      </c>
      <c r="B543" s="6" t="inlineStr">
        <is>
          <t>moshkantaqi@gmail.com</t>
        </is>
      </c>
      <c r="C543" s="5">
        <f>?utf-8?B?2LfZhNioINit2LDZgSDYsdmC2YU=?=</f>
        <v/>
      </c>
      <c r="D543" s="5" t="inlineStr">
        <is>
          <t>How can i talk to your customer service? Regards,  Moshkan Taqi</t>
        </is>
      </c>
      <c r="E543" s="7" t="inlineStr"/>
    </row>
    <row r="544" ht="18" customHeight="1">
      <c r="A544" s="2" t="inlineStr">
        <is>
          <t>k uw &lt;kuw622@yahoo.com&gt;</t>
        </is>
      </c>
      <c r="B544" s="3" t="inlineStr">
        <is>
          <t>kuw622@yahoo.com</t>
        </is>
      </c>
      <c r="C544" s="2">
        <f>?utf-8?B?2KfYsdis2Ygg2YXYs9itINix2YLZhdmKINmF2YYg2YXZhtmIINiv?=  =?utf-8?B?2KfZgg==?=</f>
        <v/>
      </c>
      <c r="D544" s="2" t="inlineStr">
        <is>
          <t>Hello! How can we help you?   ‫أُرسلت من الـ iPhone‬</t>
        </is>
      </c>
      <c r="E544" s="4" t="inlineStr"/>
    </row>
    <row r="545" ht="18" customHeight="1">
      <c r="A545" s="5" t="inlineStr">
        <is>
          <t>Jory Alazmy &lt;jory.alazmy22@gmail.com&gt;</t>
        </is>
      </c>
      <c r="B545" s="6" t="inlineStr">
        <is>
          <t>jory.alazmy22@gmail.com</t>
        </is>
      </c>
      <c r="C545" s="5">
        <f>?utf-8?B?2YPZhNin2YUg2KjYsNmK2KYg2YjYp9mG2Kcg2YTYs9iqINin2LM=?=  =?utf-8?B?2YXZiiDYs9in2LHZhyDYqti02YjZitmHINiz2YXYudmHIA==?=</f>
        <v/>
      </c>
      <c r="D545" s="5" t="inlineStr">
        <is>
          <t>Hello! How can we help you?  Report ساره-ردبل : 96022978    ‫أُرسلت من الـ iPhone‬</t>
        </is>
      </c>
      <c r="E545" s="7" t="inlineStr">
        <is>
          <t>96022978</t>
        </is>
      </c>
    </row>
    <row r="546" ht="18" customHeight="1">
      <c r="A546" s="2" t="inlineStr">
        <is>
          <t>Jory Alazmy &lt;jory.alazmy22@gmail.com&gt;</t>
        </is>
      </c>
      <c r="B546" s="3" t="inlineStr">
        <is>
          <t>jory.alazmy22@gmail.com</t>
        </is>
      </c>
      <c r="C546" s="2">
        <f>?utf-8?B?2YPZhNin2YUg2KjYsNmK2KYg2YjYp9mG2Kcg2YTYs9iqINin2LM=?=  =?utf-8?B?2YXZiiDYs9in2LHZhyDYqti02YjZitmHINiz2YXYudmHIA==?=</f>
        <v/>
      </c>
      <c r="D546" s="2" t="inlineStr">
        <is>
          <t>Hello! How can we help you?  Report ساره ايمن تبي شاليه- : 96022978    ‫أُرسلت من الـ iPhone‬</t>
        </is>
      </c>
      <c r="E546" s="4" t="inlineStr">
        <is>
          <t>96022978</t>
        </is>
      </c>
    </row>
    <row r="547" ht="18" customHeight="1">
      <c r="A547" s="5" t="inlineStr">
        <is>
          <t>Jory Alazmy &lt;jory.alazmy22@gmail.com&gt;</t>
        </is>
      </c>
      <c r="B547" s="6" t="inlineStr">
        <is>
          <t>jory.alazmy22@gmail.com</t>
        </is>
      </c>
      <c r="C547" s="5">
        <f>?utf-8?B?2YPZhNin2YUg2KjYsNmK2KYg2YjYp9mG2Kcg2YTYs9iqINin2LM=?=  =?utf-8?B?2YXZiiDYs9in2LHZhyDYqti02YjZitmHINiz2YXYudmHIA==?=</f>
        <v/>
      </c>
      <c r="D547" s="5" t="inlineStr">
        <is>
          <t>Hello! How can we help you?  Report سارا فديتها- : 96022978    ‫أُرسلت من الـ iPhone‬</t>
        </is>
      </c>
      <c r="E547" s="7" t="inlineStr">
        <is>
          <t>96022978</t>
        </is>
      </c>
    </row>
    <row r="548" ht="18" customHeight="1">
      <c r="A548" s="2" t="inlineStr">
        <is>
          <t>Jory Alazmy &lt;jory.alazmy22@gmail.com&gt;</t>
        </is>
      </c>
      <c r="B548" s="3" t="inlineStr">
        <is>
          <t>jory.alazmy22@gmail.com</t>
        </is>
      </c>
      <c r="C548" s="2">
        <f>?utf-8?B?2YPZhNin2YUg2KjYsNmK2KYg2YjYp9mG2Kcg2YTYs9iqINin2LM=?=  =?utf-8?B?2YXZiiDYs9in2LHZhyDYqti02YjZitmHINiz2YXYudmHIA==?=</f>
        <v/>
      </c>
      <c r="D548" s="2" t="inlineStr">
        <is>
          <t>Hello! How can we help you?  Report ساره-بول : 96022978    ‫أُرسلت من الـ iPhone‬</t>
        </is>
      </c>
      <c r="E548" s="4" t="inlineStr">
        <is>
          <t>96022978</t>
        </is>
      </c>
    </row>
    <row r="549" ht="18" customHeight="1">
      <c r="A549" s="5" t="inlineStr">
        <is>
          <t>Jory Alazmy &lt;jory.alazmy22@gmail.com&gt;</t>
        </is>
      </c>
      <c r="B549" s="6" t="inlineStr">
        <is>
          <t>jory.alazmy22@gmail.com</t>
        </is>
      </c>
      <c r="C549" s="5">
        <f>?utf-8?B?2YPZhNin2YUg2KjYsNmK2KYg2YjYp9mG2Kcg2YTYs9iqINin2LM=?=  =?utf-8?B?2YXZiiDYs9in2LHZhyDYqti02YjZitmHINiz2YXYudmHIA==?=</f>
        <v/>
      </c>
      <c r="D549" s="5" t="inlineStr">
        <is>
          <t>Hello! How can we help you?  Report Sara Dj- : 96022978    ‫أُرسلت من الـ iPhone‬</t>
        </is>
      </c>
      <c r="E549" s="7" t="inlineStr">
        <is>
          <t>96022978</t>
        </is>
      </c>
    </row>
    <row r="550" ht="18" customHeight="1">
      <c r="A550" s="2" t="inlineStr">
        <is>
          <t>Jory Alazmy &lt;jory.alazmy22@gmail.com&gt;</t>
        </is>
      </c>
      <c r="B550" s="3" t="inlineStr">
        <is>
          <t>jory.alazmy22@gmail.com</t>
        </is>
      </c>
      <c r="C550" s="2">
        <f>?utf-8?B?2YPZhNin2YUg2KjYsNmK2KYg2YjYp9mG2Kcg2YTYs9iqINin2LM=?=  =?utf-8?B?2YXZiiDYs9in2LHZhyDYqti02YjZitmHINiz2YXYudmHIA==?=</f>
        <v/>
      </c>
      <c r="D550" s="2" t="inlineStr">
        <is>
          <t>Hello! How can we help you?  Report ساره بي ام حوش- : 96022978    ‫أُرسلت من الـ iPhone‬</t>
        </is>
      </c>
      <c r="E550" s="4" t="inlineStr">
        <is>
          <t>96022978</t>
        </is>
      </c>
    </row>
    <row r="551" ht="18" customHeight="1">
      <c r="A551" s="5" t="inlineStr">
        <is>
          <t>Jory Alazmy &lt;jory.alazmy22@gmail.com&gt;</t>
        </is>
      </c>
      <c r="B551" s="6" t="inlineStr">
        <is>
          <t>jory.alazmy22@gmail.com</t>
        </is>
      </c>
      <c r="C551" s="5">
        <f>?utf-8?B?2YPZhNin2YUg2KjYsNmK2KYg2YjYp9mG2Kcg2YTYs9iqINin2LM=?=  =?utf-8?B?2YXZiiDYs9in2LHZhyDYqti02YjZitmHINiz2YXYudmHIA==?=</f>
        <v/>
      </c>
      <c r="D551" s="5" t="inlineStr">
        <is>
          <t>Hello! How can we help you?  Report ساره مصر- : 96022978    ‫أُرسلت من الـ iPhone‬</t>
        </is>
      </c>
      <c r="E551" s="7" t="inlineStr">
        <is>
          <t>96022978</t>
        </is>
      </c>
    </row>
    <row r="552" ht="18" customHeight="1">
      <c r="A552" s="2" t="inlineStr">
        <is>
          <t>Jory Alazmy &lt;jory.alazmy22@gmail.com&gt;</t>
        </is>
      </c>
      <c r="B552" s="3" t="inlineStr">
        <is>
          <t>jory.alazmy22@gmail.com</t>
        </is>
      </c>
      <c r="C552" s="2">
        <f>?utf-8?B?2YPZhNin2YUg2KjYsNmK2KYg2YjYp9mG2Kcg2YTYs9iqINin2LM=?=  =?utf-8?B?2YXZiiDYs9in2LHZhyDYqti02YjZitmHINiz2YXYudmHIA==?=</f>
        <v/>
      </c>
      <c r="D552" s="2" t="inlineStr">
        <is>
          <t>Hello! How can we help you?  Report ساره رفيجه عادل : 96022978    ‫أُرسلت من الـ iPhone‬</t>
        </is>
      </c>
      <c r="E552" s="4" t="inlineStr">
        <is>
          <t>96022978</t>
        </is>
      </c>
    </row>
    <row r="553" ht="18" customHeight="1">
      <c r="A553" s="5" t="inlineStr">
        <is>
          <t>Jory Alazmy &lt;jory.alazmy22@gmail.com&gt;</t>
        </is>
      </c>
      <c r="B553" s="6" t="inlineStr">
        <is>
          <t>jory.alazmy22@gmail.com</t>
        </is>
      </c>
      <c r="C553" s="5">
        <f>?utf-8?B?2YPZhNin2YUg2KjYsNmK2KYg2YjYp9mG2Kcg2YTYs9iqINin2LM=?=  =?utf-8?B?2YXZiiDYs9in2LHZhyDYqti02YjZitmHINiz2YXYudmHIA==?=</f>
        <v/>
      </c>
      <c r="D553" s="5" t="inlineStr">
        <is>
          <t>Hello! How can we help you?  Report كامري البدع لابسه وردي : 96022978    ‫أُرسلت من الـ iPhone‬</t>
        </is>
      </c>
      <c r="E553" s="7" t="inlineStr">
        <is>
          <t>96022978</t>
        </is>
      </c>
    </row>
    <row r="554" ht="18" customHeight="1">
      <c r="A554" s="2" t="inlineStr">
        <is>
          <t>Jory Alazmy &lt;jory.alazmy22@gmail.com&gt;</t>
        </is>
      </c>
      <c r="B554" s="3" t="inlineStr">
        <is>
          <t>jory.alazmy22@gmail.com</t>
        </is>
      </c>
      <c r="C554" s="2">
        <f>?utf-8?B?INmD2YTYp9mFINio2LDZitimINmI2KfZhtinINmE2LPYqiDYp9iz?=  =?utf-8?B?2YXZiiDYs9in2LHZhw==?=</f>
        <v/>
      </c>
      <c r="D554" s="2" t="inlineStr">
        <is>
          <t>Hello! How can we help you?  Report كامري البدع لابسه وردي : 96022978    ‫أُرسلت من الـ iPhone‬</t>
        </is>
      </c>
      <c r="E554" s="4" t="inlineStr">
        <is>
          <t>96022978</t>
        </is>
      </c>
    </row>
    <row r="555" ht="18" customHeight="1">
      <c r="A555" s="5" t="inlineStr">
        <is>
          <t>A B &lt;mie7ahmad@gmail.com&gt;</t>
        </is>
      </c>
      <c r="B555" s="6" t="inlineStr">
        <is>
          <t>mie7ahmad@gmail.com</t>
        </is>
      </c>
      <c r="C555" s="5" t="inlineStr"/>
      <c r="D555" s="5" t="inlineStr">
        <is>
          <t>Hello! How can we help you?  Report سنفورره بنت وايل : 66642666   ‫أُرسلت من الـ iPhone‬</t>
        </is>
      </c>
      <c r="E555" s="7" t="inlineStr">
        <is>
          <t>66642666</t>
        </is>
      </c>
    </row>
    <row r="556" ht="18" customHeight="1">
      <c r="A556" s="2" t="inlineStr">
        <is>
          <t>Dana Shamiri &lt;dfs.30@icloud.com&gt;</t>
        </is>
      </c>
      <c r="B556" s="3" t="inlineStr">
        <is>
          <t>dfs.30@icloud.com</t>
        </is>
      </c>
      <c r="C556" s="2">
        <f>?utf-8?B?2YPZhNin2YUg2KjYsNmK2KEg?=</f>
        <v/>
      </c>
      <c r="D556" s="2" t="inlineStr">
        <is>
          <t>Hello! How can we help you?  Report دانه شفط 17583 : 66257662    ‫أُرسلت من الـ iPhone‬</t>
        </is>
      </c>
      <c r="E556" s="4" t="inlineStr">
        <is>
          <t>66257662</t>
        </is>
      </c>
    </row>
    <row r="557" ht="18" customHeight="1">
      <c r="A557" s="5" t="inlineStr">
        <is>
          <t>Jory Alazmy &lt;jory.alazmy22@gmail.com&gt;</t>
        </is>
      </c>
      <c r="B557" s="6" t="inlineStr">
        <is>
          <t>jory.alazmy22@gmail.com</t>
        </is>
      </c>
      <c r="C557" s="5">
        <f>?utf-8?B?2LfZhNioINit2LDZgSDYsdmC2YU=?=</f>
        <v/>
      </c>
      <c r="D557" s="5" t="inlineStr">
        <is>
          <t xml:space="preserve"> انه ليس اسمي واسماء بذيئه لا تليق بي  ‫أُرسلت من الـ iPhone‬</t>
        </is>
      </c>
      <c r="E557" s="7" t="inlineStr"/>
    </row>
    <row r="558" ht="18" customHeight="1">
      <c r="A558" s="2" t="inlineStr">
        <is>
          <t>abdulwahab alfarhan &lt;a.s.alfarhan@icloud.com&gt;</t>
        </is>
      </c>
      <c r="B558" s="3" t="inlineStr">
        <is>
          <t>a.s.alfarhan@icloud.com</t>
        </is>
      </c>
      <c r="C558" s="2">
        <f>?utf-8?B?2KfYstin2YTYqSDYp9mE2KfYs9mF?=</f>
        <v/>
      </c>
      <c r="D558" s="2" t="inlineStr">
        <is>
          <t>Hello! How can we help you?  Report alkharaaaaa : 97897858   Sent from my iPhone</t>
        </is>
      </c>
      <c r="E558" s="4" t="inlineStr">
        <is>
          <t>97897858</t>
        </is>
      </c>
    </row>
    <row r="559" ht="18" customHeight="1">
      <c r="A559" s="5" t="inlineStr">
        <is>
          <t>Mohamad Alrubaian &lt;rubiainy@icloud.com&gt;</t>
        </is>
      </c>
      <c r="B559" s="6" t="inlineStr">
        <is>
          <t>rubiainy@icloud.com</t>
        </is>
      </c>
      <c r="C559" s="5" t="inlineStr"/>
      <c r="D559" s="5" t="inlineStr">
        <is>
          <t>Hello! How can we help you?  Report متطفلين حسب بلاغات من بلدك KW :   Sent from my iPhone</t>
        </is>
      </c>
      <c r="E559" s="7" t="inlineStr"/>
    </row>
    <row r="560" ht="18" customHeight="1">
      <c r="A560" s="2" t="inlineStr">
        <is>
          <t>Hassan Hazaa &lt;hassanhazaaa@gmail.com&gt;</t>
        </is>
      </c>
      <c r="B560" s="3" t="inlineStr">
        <is>
          <t>hassanhazaaa@gmail.com</t>
        </is>
      </c>
      <c r="C560" s="2">
        <f>?utf-8?B?2KfZhNiz2YTYp9mFINi52YTZitmD2YUg?=</f>
        <v/>
      </c>
      <c r="D560" s="2" t="inlineStr">
        <is>
          <t>Hello! How can we help you?  السلام عليكم يا احباب ، انا مشترك بخدمة البلوك على الرقم ووقت الاشتراك ما كان في مده معينه حق الخدمه ووصلني مسج اس ام اس يفيد بالانتهاء ، رقمي 55017017 يرجى معالجة الموضوع   وووشكرا   ‫أُرسلت من الـ iPhone‬</t>
        </is>
      </c>
      <c r="E560" s="4" t="inlineStr">
        <is>
          <t>55017017</t>
        </is>
      </c>
    </row>
    <row r="561" ht="18" customHeight="1">
      <c r="A561" s="5" t="inlineStr">
        <is>
          <t>khaled Eid &lt;jaberbo801@icloud.com&gt;</t>
        </is>
      </c>
      <c r="B561" s="6" t="inlineStr">
        <is>
          <t>jaberbo801@icloud.com</t>
        </is>
      </c>
      <c r="C561" s="5">
        <f>?utf-8?B?2KfZhNix2KzYp9ihINit2LjYsSDZh9iw2Kcg2LHZgtmFIDkwOTE3?=  =?utf-8?B?Nzc4INmI2LDZhNmDINmE2Yog2KPYs9io2KfYqCDYudin2KbZhNmK?=  =?utf-8?B?2Kkg2YjYqtis2YbYqCDZhdit2YPZhdipINin2YTZgti22KfYptmK?=  =?utf-8?B?2Kk=?=</f>
        <v/>
      </c>
      <c r="D561" s="5" t="inlineStr">
        <is>
          <t>الرجاء حظر هذا رقم 90917778 وذلك لي أسباب عائلية وتجنب محكمة القضائية  Report خالد جابر الرفيعي : 90917778   ‫أُرسلت من الـ iPhone‬</t>
        </is>
      </c>
      <c r="E561" s="7" t="inlineStr">
        <is>
          <t>90917778</t>
        </is>
      </c>
    </row>
    <row r="562" ht="18" customHeight="1">
      <c r="A562" s="2" t="inlineStr">
        <is>
          <t>khaled Eid &lt;jaberbo801@icloud.com&gt;</t>
        </is>
      </c>
      <c r="B562" s="3" t="inlineStr">
        <is>
          <t>jaberbo801@icloud.com</t>
        </is>
      </c>
      <c r="C562" s="2">
        <f>?utf-8?B?2KfZhNix2KzYp9ihINit2LjYsSDZh9iw2Kcg2LHZgtmFIDkwOTE3?=  =?utf-8?B?Nzc4INmI2LDZhNmDINmE2Yog2KPYs9io2KfYqCDYudin2KbZhNmK?=  =?utf-8?B?2Kkg2YjYqtis2YbYqCDZhdit2YPZhdipINin2YTZgti22KfYptmK?=  =?utf-8?B?2Kk=?=</f>
        <v/>
      </c>
      <c r="D562" s="2" t="inlineStr">
        <is>
          <t>الرجاء حظر هذا رقم 90917778 وذلك لي أسباب عائلية وتجنب محكمة القضائية  Report ام جابر مرت خالد جابر عيد : 90917778   ‫أُرسلت من الـ iPhone‬</t>
        </is>
      </c>
      <c r="E562" s="4" t="inlineStr">
        <is>
          <t>90917778</t>
        </is>
      </c>
    </row>
    <row r="563" ht="18" customHeight="1">
      <c r="A563" s="5" t="inlineStr">
        <is>
          <t>asd asd &lt;hamood198611@hotmail.com&gt;</t>
        </is>
      </c>
      <c r="B563" s="6" t="inlineStr">
        <is>
          <t>hamood198611@hotmail.com</t>
        </is>
      </c>
      <c r="C563" s="5" t="inlineStr">
        <is>
          <t>He put our house address</t>
        </is>
      </c>
      <c r="D563" s="5" t="inlineStr">
        <is>
          <t xml:space="preserve">Hello! How can we help you?  Report حمود الصليبيه- : 66003668  ‫أُرسلت من الـ iPhone‬ </t>
        </is>
      </c>
      <c r="E563" s="7" t="inlineStr">
        <is>
          <t>66003668</t>
        </is>
      </c>
    </row>
    <row r="564" ht="18" customHeight="1">
      <c r="A564" s="2" t="inlineStr">
        <is>
          <t>Bodour Mairza &lt;bodourmairza@gmail.com&gt;</t>
        </is>
      </c>
      <c r="B564" s="3" t="inlineStr">
        <is>
          <t>bodourmairza@gmail.com</t>
        </is>
      </c>
      <c r="C564" s="2" t="inlineStr"/>
      <c r="D564" s="2" t="inlineStr">
        <is>
          <t>Hello! How can we help you?  Report متطفلين حسب بلاغات من بلدك KW :   Sent from my iPhone</t>
        </is>
      </c>
      <c r="E564" s="4" t="inlineStr"/>
    </row>
    <row r="565" ht="18" customHeight="1">
      <c r="A565" s="5" t="inlineStr">
        <is>
          <t>m6iyr &lt;alm6iry@hotmail.com&gt;</t>
        </is>
      </c>
      <c r="B565" s="6" t="inlineStr">
        <is>
          <t>alm6iry@hotmail.com</t>
        </is>
      </c>
      <c r="C565" s="5">
        <f>?utf-8?B?2KfZhNix2KzYp9ihINi52K/ZhSDYqtis2KfZh9mEINin2YTYp9mF2LEg?=</f>
        <v/>
      </c>
      <c r="D565" s="5" t="inlineStr">
        <is>
          <t xml:space="preserve">﻿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t>
        </is>
      </c>
      <c r="E565" s="7" t="inlineStr">
        <is>
          <t>65188868</t>
        </is>
      </c>
    </row>
    <row r="566" ht="18" customHeight="1">
      <c r="A566" s="2" t="inlineStr">
        <is>
          <t>K K &lt;k.alm6iry@hotmail.com&gt;</t>
        </is>
      </c>
      <c r="B566" s="3" t="inlineStr">
        <is>
          <t>k.alm6iry@hotmail.com</t>
        </is>
      </c>
      <c r="C566" s="2">
        <f>?utf-8?B?2YXZh9mFINis2K/Yp9mLINmC2KjZhCDYp9iq2K7Yp9iwINin2YTYp9is2LE=?=  =?utf-8?B?2KfYodin2Kog2KfZhNmE2KfYstmF2Yc=?=</f>
        <v/>
      </c>
      <c r="D566" s="2" t="inlineStr">
        <is>
          <t xml:space="preserve">﻿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‫أُرسلت من الـ iPhone‬ </t>
        </is>
      </c>
      <c r="E566" s="4" t="inlineStr">
        <is>
          <t>65188868</t>
        </is>
      </c>
    </row>
    <row r="567" ht="18" customHeight="1">
      <c r="A567" s="5" t="inlineStr">
        <is>
          <t>m6iyr &lt;alm6iry@hotmail.com&gt;</t>
        </is>
      </c>
      <c r="B567" s="6" t="inlineStr">
        <is>
          <t>alm6iry@hotmail.com</t>
        </is>
      </c>
      <c r="C567" s="5">
        <f>?utf-8?B?2KfZhNix2KzYp9ihINi52K/ZhSDYqtis2KfZh9mEINin2YTYp9mF2LEg?=</f>
        <v/>
      </c>
      <c r="D567" s="5" t="inlineStr">
        <is>
          <t xml:space="preserve">﻿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t>
        </is>
      </c>
      <c r="E567" s="7" t="inlineStr">
        <is>
          <t>65188868</t>
        </is>
      </c>
    </row>
    <row r="568" ht="18" customHeight="1">
      <c r="A568" s="2" t="inlineStr">
        <is>
          <t>K K &lt;k.alm6iry@hotmail.com&gt;</t>
        </is>
      </c>
      <c r="B568" s="3" t="inlineStr">
        <is>
          <t>k.alm6iry@hotmail.com</t>
        </is>
      </c>
      <c r="C568" s="2">
        <f>?utf-8?B?2YXZh9mFINis2K/Yp9mLINmC2KjZhCDYp9iq2K7Yp9iwINin2YTYp9is2LE=?=  =?utf-8?B?2KfYodin2Kog2KfZhNmE2KfYstmF2Yc=?=</f>
        <v/>
      </c>
      <c r="D568" s="2" t="inlineStr">
        <is>
          <t xml:space="preserve">﻿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‫أُرسلت من الـ iPhone‬ </t>
        </is>
      </c>
      <c r="E568" s="4" t="inlineStr">
        <is>
          <t>65188868</t>
        </is>
      </c>
    </row>
    <row r="569" ht="18" customHeight="1">
      <c r="A569" s="5" t="inlineStr">
        <is>
          <t>nashmiah Kuwait &lt;nashmiah93@hotmail.com&gt;</t>
        </is>
      </c>
      <c r="B569" s="6" t="inlineStr">
        <is>
          <t>nashmiah93@hotmail.com</t>
        </is>
      </c>
      <c r="C569" s="5" t="inlineStr"/>
      <c r="D569" s="5" t="inlineStr">
        <is>
          <t xml:space="preserve">Hello! How can we help you?  Report نشمية ام خماس : 90033351  Sent from my iPhone </t>
        </is>
      </c>
      <c r="E569" s="7" t="inlineStr">
        <is>
          <t>90033351</t>
        </is>
      </c>
    </row>
    <row r="570" ht="18" customHeight="1">
      <c r="A570" s="2" t="inlineStr">
        <is>
          <t>Azeez Almteiri &lt;almteiri@icloud.com&gt;</t>
        </is>
      </c>
      <c r="B570" s="3" t="inlineStr">
        <is>
          <t>almteiri@icloud.com</t>
        </is>
      </c>
      <c r="C570" s="2">
        <f>?utf-8?B?2LTZhNmI2YYg2KfYrdiw2YEg2LHZgtmF?=</f>
        <v/>
      </c>
      <c r="D570" s="2" t="inlineStr">
        <is>
          <t xml:space="preserve"> السلام عليكم ورحمة الله وبركاتة ، يعطيكم العافية  استفسار اذا في رقم نبي نحذف بياناته ما هي الطريقة ؟ وشكراً لكم</t>
        </is>
      </c>
      <c r="E570" s="4" t="inlineStr"/>
    </row>
    <row r="571" ht="18" customHeight="1">
      <c r="A571" s="5" t="inlineStr">
        <is>
          <t>Maha Q8 &lt;mahawity@gmail.com&gt;</t>
        </is>
      </c>
      <c r="B571" s="6" t="inlineStr">
        <is>
          <t>mahawity@gmail.com</t>
        </is>
      </c>
      <c r="C571" s="5" t="inlineStr">
        <is>
          <t>Re: Its make me in danger and not privacy</t>
        </is>
      </c>
      <c r="D571" s="5" t="inlineStr">
        <is>
          <t xml:space="preserve"> &lt;mahawity@gmail.com&gt; wrote:  &gt; Hello ,  I wish you help me ! This is my number and somebody saving it by &gt; my address and that make me not save !  And no privacy any more &gt; Sooo please remove or delete my address ,, forever ! I wish that &gt; And I will put the pic of my address ! &gt; &gt; pleeeaaase &gt; &gt; </t>
        </is>
      </c>
      <c r="E571" s="7" t="inlineStr"/>
    </row>
    <row r="572" ht="18" customHeight="1">
      <c r="A572" s="2" t="inlineStr">
        <is>
          <t>K K &lt;k.alm6iry@hotmail.com&gt;</t>
        </is>
      </c>
      <c r="B572" s="3" t="inlineStr">
        <is>
          <t>k.alm6iry@hotmail.com</t>
        </is>
      </c>
      <c r="C572" s="2">
        <f>?utf-8?B?2KfZhNiz2YTYp9mFINi52YTZitmD2YUg?=</f>
        <v/>
      </c>
      <c r="D572" s="2" t="inlineStr">
        <is>
          <t xml:space="preserve">﻿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572" s="4" t="inlineStr">
        <is>
          <t>65188868</t>
        </is>
      </c>
    </row>
    <row r="573" ht="18" customHeight="1">
      <c r="A573" s="5" t="inlineStr">
        <is>
          <t>m6iyr &lt;alm6iry@hotmail.com&gt;</t>
        </is>
      </c>
      <c r="B573" s="6" t="inlineStr">
        <is>
          <t>alm6iry@hotmail.com</t>
        </is>
      </c>
      <c r="C573" s="5">
        <f>?utf-8?B?2YXZh9mFINis2K/Yp9mLINiMICDYudiv2YUg2YbYtNixINmF2LnZhNmI2YU=?=  =?utf-8?B?2KfYqtmKINin2YTYtNiu2LXZitmHIA==?=</f>
        <v/>
      </c>
      <c r="D573" s="5" t="inlineStr">
        <is>
          <t xml:space="preserve">﻿ ﻿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573" s="7" t="inlineStr">
        <is>
          <t>65188868</t>
        </is>
      </c>
    </row>
    <row r="574" ht="18" customHeight="1">
      <c r="A574" s="2" t="inlineStr">
        <is>
          <t>khalid almutairi &lt;5ex@live.com&gt;</t>
        </is>
      </c>
      <c r="B574" s="3" t="inlineStr">
        <is>
          <t>5ex@live.com</t>
        </is>
      </c>
      <c r="C574" s="2">
        <f>?utf-8?B?2YXZh9mFINis2K/Yp9mLINiMICDYudiv2YUg2YbYtNixINmF2LnZhNmI2YU=?=  =?utf-8?B?2KfYqtmKINin2YTYtNiu2LXZitmHIA==?=</f>
        <v/>
      </c>
      <c r="D574" s="2"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74" s="4" t="inlineStr">
        <is>
          <t>65188868</t>
        </is>
      </c>
    </row>
    <row r="575" ht="18" customHeight="1">
      <c r="A575" s="5">
        <f>?utf-8?B?2YHZh9mK2K8g2KfZhNit2KzYsdmB?= &lt;fheedalhajraf1995@icloud.com&gt;</f>
        <v/>
      </c>
      <c r="B575" s="6" t="inlineStr">
        <is>
          <t>fheedalhajraf1995@icloud.com</t>
        </is>
      </c>
      <c r="C575" s="5">
        <f>?utf-8?B?2LPYqNin2YU=?=</f>
        <v/>
      </c>
      <c r="D575" s="5" t="inlineStr">
        <is>
          <t>Hello! How can we help you?  Report سارة منقبه العجمي : 50908988   ‫أُرسلت من الـ iPhone‬</t>
        </is>
      </c>
      <c r="E575" s="7" t="inlineStr">
        <is>
          <t>50908988</t>
        </is>
      </c>
    </row>
    <row r="576" ht="18" customHeight="1">
      <c r="A576" s="2">
        <f>?utf-8?B?2YHZh9mK2K8g2KfZhNit2KzYsdmB?= &lt;fheedalhajraf1995@icloud.com&gt;</f>
        <v/>
      </c>
      <c r="B576" s="3" t="inlineStr">
        <is>
          <t>fheedalhajraf1995@icloud.com</t>
        </is>
      </c>
      <c r="C576" s="2" t="inlineStr"/>
      <c r="D576" s="2" t="inlineStr">
        <is>
          <t>Hello! How can we help you?  Report سارة منقبه العجمي : 50908988   ‫أُرسلت من الـ iPhone‬</t>
        </is>
      </c>
      <c r="E576" s="4" t="inlineStr">
        <is>
          <t>50908988</t>
        </is>
      </c>
    </row>
    <row r="577" ht="18" customHeight="1">
      <c r="A577" s="5" t="inlineStr">
        <is>
          <t>Fahad City &lt;fcity3@icloud.com&gt;</t>
        </is>
      </c>
      <c r="B577" s="6" t="inlineStr">
        <is>
          <t>fcity3@icloud.com</t>
        </is>
      </c>
      <c r="C577" s="5">
        <f>?utf-8?B?2KfYrtmB2KfYoSDYp9mE2LnZhtmI2KfZhg==?=</f>
        <v/>
      </c>
      <c r="D577" s="5" t="inlineStr">
        <is>
          <t>Hello! How can we help you?  Report زبون الصباحيه ق3 ش 10 م 185-جادور وكارلند ادول : 55855809   ‫أُرسلت من الـ iPhone‬</t>
        </is>
      </c>
      <c r="E577" s="7" t="inlineStr">
        <is>
          <t>55855809</t>
        </is>
      </c>
    </row>
    <row r="578" ht="18" customHeight="1">
      <c r="A578" s="2" t="inlineStr">
        <is>
          <t>Fahad City &lt;fcity3@icloud.com&gt;</t>
        </is>
      </c>
      <c r="B578" s="3" t="inlineStr">
        <is>
          <t>fcity3@icloud.com</t>
        </is>
      </c>
      <c r="C578" s="2" t="inlineStr"/>
      <c r="D578" s="2" t="inlineStr">
        <is>
          <t>Hello! How can we help you?  Report زبون الصباحيه ق3 ش 10 م 185-جادور وكارلند ادول : 55855809   ‫أُرسلت من الـ iPhone‬</t>
        </is>
      </c>
      <c r="E578" s="4" t="inlineStr">
        <is>
          <t>55855809</t>
        </is>
      </c>
    </row>
    <row r="579" ht="18" customHeight="1">
      <c r="A579" s="5" t="inlineStr">
        <is>
          <t>Abdullatif Alshehri &lt;ra7al-1989@hotmail.com&gt;</t>
        </is>
      </c>
      <c r="B579" s="6" t="inlineStr">
        <is>
          <t>ra7al-1989@hotmail.com</t>
        </is>
      </c>
      <c r="C579" s="5">
        <f>?utf-8?B?2KfZhNin2LPZhSDYutmK2LEg2LXYrdmK2K0g2YHYttmE2KfZiw==?=</f>
        <v/>
      </c>
      <c r="D579" s="5" t="inlineStr">
        <is>
          <t xml:space="preserve">Hello! How can we help you?  Report النقيب ابو سلطان - : 65552622 </t>
        </is>
      </c>
      <c r="E579" s="7" t="inlineStr">
        <is>
          <t>65552622</t>
        </is>
      </c>
    </row>
    <row r="580" ht="18" customHeight="1">
      <c r="A580" s="2">
        <f>?utf-8?B?2Kgg2KfZhNit2LHYqNmK?= &lt;bmhh0986@gmail.com&gt;</f>
        <v/>
      </c>
      <c r="B580" s="3" t="inlineStr">
        <is>
          <t>bmhh0986@gmail.com</t>
        </is>
      </c>
      <c r="C580" s="2">
        <f>?utf-8?B?2YLYsNmBINmI2LPYqA==?=</f>
        <v/>
      </c>
      <c r="D580" s="2" t="inlineStr">
        <is>
          <t>Hello! How can we help you?  Report عماد الرمه- : 55704445   ‫أُرسلت من الـ iPhone‬</t>
        </is>
      </c>
      <c r="E580" s="4" t="inlineStr">
        <is>
          <t>55704445</t>
        </is>
      </c>
    </row>
    <row r="581" ht="18" customHeight="1">
      <c r="A581" s="5">
        <f>?utf-8?B?2Kgg2KfZhNit2LHYqNmK?= &lt;bmhh0986@gmail.com&gt;</f>
        <v/>
      </c>
      <c r="B581" s="6" t="inlineStr">
        <is>
          <t>bmhh0986@gmail.com</t>
        </is>
      </c>
      <c r="C581" s="5" t="inlineStr"/>
      <c r="D581" s="5" t="inlineStr">
        <is>
          <t>Hello! How can we help you?  Report عماد الرمه- : 55704445   ‫أُرسلت من الـ iPhone‬</t>
        </is>
      </c>
      <c r="E581" s="7" t="inlineStr">
        <is>
          <t>55704445</t>
        </is>
      </c>
    </row>
    <row r="582" ht="18" customHeight="1">
      <c r="A582" s="2" t="inlineStr">
        <is>
          <t>khalid almutairi &lt;5ex@live.com&gt;</t>
        </is>
      </c>
      <c r="B582" s="3" t="inlineStr">
        <is>
          <t>5ex@live.com</t>
        </is>
      </c>
      <c r="C582" s="2">
        <f>?utf-8?B?2YXZh9mFINis2K/Yp9mLINiMICDYudiv2YUg2YbYtNixINmF2LnZhNmI2YU=?=  =?utf-8?B?2KfYqtmKINin2YTYtNiu2LXZitmHIA==?=</f>
        <v/>
      </c>
      <c r="D582" s="2" t="inlineStr">
        <is>
          <t xml:space="preserve">﻿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82" s="4" t="inlineStr">
        <is>
          <t>65188868</t>
        </is>
      </c>
    </row>
    <row r="583" ht="18" customHeight="1">
      <c r="A583" s="5" t="inlineStr">
        <is>
          <t>Soso Aldabbouss &lt;sosoaldabbouss@gmail.com&gt;</t>
        </is>
      </c>
      <c r="B583" s="6" t="inlineStr">
        <is>
          <t>sosoaldabbouss@gmail.com</t>
        </is>
      </c>
      <c r="C583" s="5">
        <f>?utf-8?B?2LfZhNioINit2LDZgSDYsdmC2YU=?=</f>
        <v/>
      </c>
      <c r="D583" s="5" t="inlineStr">
        <is>
          <t>السلام عليكم   الرجاء حذف العنوان المسجل تحت رقمي وهالمعلومة تخترق الخصوصية !!   الرقم : 66911108   وكذلك لمبة حمام و اسم سلوى عبدالهادي الفضلي  و bo mesk المسجل تحت رقمي   شكرا لتعاونكم</t>
        </is>
      </c>
      <c r="E583" s="7" t="inlineStr">
        <is>
          <t>66911108</t>
        </is>
      </c>
    </row>
    <row r="584" ht="18" customHeight="1">
      <c r="A584" s="2" t="inlineStr">
        <is>
          <t>Farraj Alajmii &lt;farrajalajmii@gmail.com&gt;</t>
        </is>
      </c>
      <c r="B584" s="3" t="inlineStr">
        <is>
          <t>farrajalajmii@gmail.com</t>
        </is>
      </c>
      <c r="C584" s="2" t="inlineStr">
        <is>
          <t xml:space="preserve">Re: </t>
        </is>
      </c>
      <c r="D584" s="2" t="inlineStr">
        <is>
          <t xml:space="preserve">اريد خذف هذا الاسم ‫أُرسلت من الـ iPhone‬  &gt; ‫في 21‏/10‏/2025 الساعة 8:18 ص، كتب/كتبت ‏Farraj Alajmii ‏&lt;farrajalajmii@gmail.com&gt;:‬ &gt;  &gt; ﻿ &gt; Hello! How can we help you? &gt;  &gt; Report الحب الاول والاخي : 52555845 &gt;  &gt;  &gt; ‫أُرسلت من الـ iPhone‬ </t>
        </is>
      </c>
      <c r="E584" s="4" t="inlineStr">
        <is>
          <t>52555845</t>
        </is>
      </c>
    </row>
    <row r="585" ht="18" customHeight="1">
      <c r="A585" s="5" t="inlineStr">
        <is>
          <t>hmz hmzhm &lt;hanadymatrood94@gmail.com&gt;</t>
        </is>
      </c>
      <c r="B585" s="6" t="inlineStr">
        <is>
          <t>hanadymatrood94@gmail.com</t>
        </is>
      </c>
      <c r="C585" s="5">
        <f>?utf-8?B?2KfZhNiz2YTYp9mFINi52YTZitmD2YUg2KfYsdis2YjYpyDZhdiz?=  =?utf-8?B?2K0g2YfYsNinINin2YTYp9iz2YUg2YXYsti52Kwg2KzYr9inIA==?=</f>
        <v/>
      </c>
      <c r="D585" s="5" t="inlineStr">
        <is>
          <t>Hello! How can we help you?  Report العيون ق2 ش2منزل 53 : 97249018   ‫أُرسلت من الـ iPhone‬</t>
        </is>
      </c>
      <c r="E585" s="7" t="inlineStr">
        <is>
          <t>97249018</t>
        </is>
      </c>
    </row>
    <row r="586" ht="18" customHeight="1">
      <c r="A586" s="2" t="inlineStr">
        <is>
          <t>Noor Al_shatti &lt;noooor.al.shattii@icloud.com&gt;</t>
        </is>
      </c>
      <c r="B586" s="3" t="inlineStr">
        <is>
          <t>noooor.al.shattii@icloud.com</t>
        </is>
      </c>
      <c r="C586" s="2" t="inlineStr"/>
      <c r="D586" s="2" t="inlineStr">
        <is>
          <t>Hello! How can we help you?  Report حبيبة وليد : 94945880   أُرسلت من الـ iPhone</t>
        </is>
      </c>
      <c r="E586" s="4" t="inlineStr">
        <is>
          <t>94945880</t>
        </is>
      </c>
    </row>
    <row r="587" ht="18" customHeight="1">
      <c r="A587" s="5" t="inlineStr">
        <is>
          <t>Noor Al_shatti &lt;noooor.al.shattii@icloud.com&gt;</t>
        </is>
      </c>
      <c r="B587" s="6" t="inlineStr">
        <is>
          <t>noooor.al.shattii@icloud.com</t>
        </is>
      </c>
      <c r="C587" s="5" t="inlineStr"/>
      <c r="D587" s="5" t="inlineStr">
        <is>
          <t>Hello! How can we help you?  Report ب/شقة عاشرة ابوالحصانى : 92290787   أُرسلت من الـ iPhone</t>
        </is>
      </c>
      <c r="E587" s="7" t="inlineStr">
        <is>
          <t>92290787</t>
        </is>
      </c>
    </row>
    <row r="588" ht="18" customHeight="1">
      <c r="A588" s="2" t="inlineStr">
        <is>
          <t>Hessa Albannaq &lt;hessaalbannaq@gmail.com&gt;</t>
        </is>
      </c>
      <c r="B588" s="3" t="inlineStr">
        <is>
          <t>hessaalbannaq@gmail.com</t>
        </is>
      </c>
      <c r="C588" s="2" t="inlineStr">
        <is>
          <t xml:space="preserve">Re: </t>
        </is>
      </c>
      <c r="D588" s="2" t="inlineStr">
        <is>
          <t xml:space="preserve">How I can remove a bad name ?  Can you remove it from my number? ( Sx )  &gt; On 20 Oct 2025, at 8:16 PM, Hessa Albannaq &lt;hessaalbannaq@gmail.com&gt; wrote: &gt;  &gt; ﻿ &gt; Hello! How can we help you? &gt;  &gt; Report Sx : 51154321 &gt;  &gt; Please remove this name if possible!!  &gt;  &gt; ( Sx ) !  &gt;  &gt; I don’t know why would someone save my number like this  &gt;  </t>
        </is>
      </c>
      <c r="E588" s="4" t="inlineStr">
        <is>
          <t>51154321</t>
        </is>
      </c>
    </row>
    <row r="589" ht="18" customHeight="1">
      <c r="A589" s="5" t="inlineStr">
        <is>
          <t>KLOOD &lt;alazmie33@gmail.com&gt;</t>
        </is>
      </c>
      <c r="B589" s="6" t="inlineStr">
        <is>
          <t>alazmie33@gmail.com</t>
        </is>
      </c>
      <c r="C589" s="5" t="inlineStr">
        <is>
          <t>Please delete this name because it offends me (I am the owner of this number)</t>
        </is>
      </c>
      <c r="D589" s="5" t="inlineStr">
        <is>
          <t>Hello! How can we help you?  Report عبدالله مكوان : 96914156   ‫أُرسلت من الـ iPhone‬</t>
        </is>
      </c>
      <c r="E589" s="7" t="inlineStr">
        <is>
          <t>96914156</t>
        </is>
      </c>
    </row>
    <row r="590" ht="18" customHeight="1">
      <c r="A590" s="2" t="inlineStr">
        <is>
          <t>mariam88421@gmail.com</t>
        </is>
      </c>
      <c r="B590" s="3" t="inlineStr">
        <is>
          <t>mariam88421@gmail.com</t>
        </is>
      </c>
      <c r="C590" s="2" t="inlineStr">
        <is>
          <t>Please delete the comment because the full address is written</t>
        </is>
      </c>
      <c r="D590" s="2" t="inlineStr">
        <is>
          <t>Hello! How can we help you?  Report Street 9 Building 8908..7 Right Side Left Flat 9 : 50003070   ‫أُرسلت من الـ iPhone‬</t>
        </is>
      </c>
      <c r="E590" s="4" t="inlineStr">
        <is>
          <t>50003070</t>
        </is>
      </c>
    </row>
    <row r="591" ht="18" customHeight="1">
      <c r="A591" s="5">
        <f>?utf-8?B?2KjYp9ix2KjZiiDZg9in2LHZhNmI2LM=?= &lt;miss_3yon1@hotmail.com&gt;</f>
        <v/>
      </c>
      <c r="B591" s="6" t="inlineStr">
        <is>
          <t>miss_3yon1@hotmail.com</t>
        </is>
      </c>
      <c r="C591" s="5" t="inlineStr"/>
      <c r="D591" s="5" t="inlineStr">
        <is>
          <t xml:space="preserve">Hello! How can we help you?  Sent from my iPhone انا حاطه خدمة البلوك ولم يمضي 6 اشهر و اليوم ارسلتولي ان انتهى اشتراكي؟؟؟!!! لماذا </t>
        </is>
      </c>
      <c r="E591" s="7" t="inlineStr"/>
    </row>
    <row r="592" ht="18" customHeight="1">
      <c r="A592" s="2" t="inlineStr">
        <is>
          <t>M A &lt;m7md855@icloud.com&gt;</t>
        </is>
      </c>
      <c r="B592" s="3" t="inlineStr">
        <is>
          <t>m7md855@icloud.com</t>
        </is>
      </c>
      <c r="C592" s="2">
        <f>?utf-8?B?2K3YsNmBINin2LPZhSDZiNix2YLZhSDYqNmE2YrYsg==?=</f>
        <v/>
      </c>
      <c r="D592" s="2" t="inlineStr">
        <is>
          <t xml:space="preserve">Hello! How can we help you?  Report محمد : 66696261  </t>
        </is>
      </c>
      <c r="E592" s="4" t="inlineStr">
        <is>
          <t>66696261</t>
        </is>
      </c>
    </row>
    <row r="593" ht="18" customHeight="1">
      <c r="A593" s="5" t="inlineStr">
        <is>
          <t>m6iyr &lt;alm6iry@hotmail.com&gt;</t>
        </is>
      </c>
      <c r="B593" s="6" t="inlineStr">
        <is>
          <t>alm6iry@hotmail.com</t>
        </is>
      </c>
      <c r="C593" s="5">
        <f>?utf-8?B?2YXZh9mFINis2K/Yp9mLINiMICDYudiv2YUg2YbYtNixINmF2LnZhNmI2YU=?=  =?utf-8?B?2KfYqtmKINin2YTYtNiu2LXZitmHIA==?=</f>
        <v/>
      </c>
      <c r="D593" s="5" t="inlineStr">
        <is>
          <t xml:space="preserve">﻿ ﻿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593" s="7" t="inlineStr">
        <is>
          <t>65188868</t>
        </is>
      </c>
    </row>
    <row r="594" ht="18" customHeight="1">
      <c r="A594" s="2" t="inlineStr">
        <is>
          <t>khalid almutairi &lt;5ex@live.com&gt;</t>
        </is>
      </c>
      <c r="B594" s="3" t="inlineStr">
        <is>
          <t>5ex@live.com</t>
        </is>
      </c>
      <c r="C594" s="2">
        <f>?utf-8?B?2YXZh9mFINis2K/Yp9mLINiMICDYudiv2YUg2YbYtNixINmF2LnZhNmI2YU=?=  =?utf-8?B?2KfYqtmKINin2YTYtNiu2LXZitmHIA==?=</f>
        <v/>
      </c>
      <c r="D594" s="2" t="inlineStr">
        <is>
          <t xml:space="preserve">﻿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94" s="4" t="inlineStr">
        <is>
          <t>65188868</t>
        </is>
      </c>
    </row>
    <row r="595" ht="18" customHeight="1">
      <c r="A595" s="5" t="inlineStr">
        <is>
          <t>khalid almutairi &lt;5ex@live.com&gt;</t>
        </is>
      </c>
      <c r="B595" s="6" t="inlineStr">
        <is>
          <t>5ex@live.com</t>
        </is>
      </c>
      <c r="C595" s="5">
        <f>?utf-8?B?2YXZh9mFINis2K/Yp9mLINiMICDYudiv2YUg2YbYtNixINmF2LnZhNmI2YU=?=  =?utf-8?B?2KfYqtmKINin2YTYtNiu2LXZitmHIA==?=</f>
        <v/>
      </c>
      <c r="D595" s="5" t="inlineStr">
        <is>
          <t xml:space="preserve">﻿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595" s="7" t="inlineStr">
        <is>
          <t>65188868</t>
        </is>
      </c>
    </row>
    <row r="596" ht="18" customHeight="1">
      <c r="A596" s="2" t="inlineStr">
        <is>
          <t>khalid almutairi &lt;5ex@live.com&gt;</t>
        </is>
      </c>
      <c r="B596" s="3" t="inlineStr">
        <is>
          <t>5ex@live.com</t>
        </is>
      </c>
      <c r="C596" s="2">
        <f>?utf-8?B?2KfZhNix2KzYp9ihINi52K/ZhSDYqtis2KfZh9mEINin2YTYp9mF2LEg?=</f>
        <v/>
      </c>
      <c r="D596" s="2"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596" s="4" t="inlineStr">
        <is>
          <t>65188868</t>
        </is>
      </c>
    </row>
    <row r="597" ht="18" customHeight="1">
      <c r="A597" s="5" t="inlineStr">
        <is>
          <t>khalid almutairi &lt;5ex@live.com&gt;</t>
        </is>
      </c>
      <c r="B597" s="6" t="inlineStr">
        <is>
          <t>5ex@live.com</t>
        </is>
      </c>
      <c r="C597" s="5">
        <f>?utf-8?B?2KfYsdis2KfYuSDYp9mE2K3YuNixINi52YTZiSDYp9mE2KfYs9mF2KfYoQ==?=</f>
        <v/>
      </c>
      <c r="D597" s="5" t="inlineStr">
        <is>
          <t xml:space="preserve">﻿ ﻿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597" s="7" t="inlineStr">
        <is>
          <t>65188868</t>
        </is>
      </c>
    </row>
    <row r="598" ht="18" customHeight="1">
      <c r="A598" s="2" t="inlineStr">
        <is>
          <t>Yousef Enezi &lt;salh_1956@icloud.com&gt;</t>
        </is>
      </c>
      <c r="B598" s="3" t="inlineStr">
        <is>
          <t>salh_1956@icloud.com</t>
        </is>
      </c>
      <c r="C598" s="2">
        <f>?utf-8?B?2KfZhtiq2YfYp9ihINin2YTYp9i02KrYsdin2YM=?=</f>
        <v/>
      </c>
      <c r="D598" s="2" t="inlineStr">
        <is>
          <t xml:space="preserve">لماذا تم ايقاف اشتراكي علماً بإني جددت الاشتراك بتاريخ 13/4/2025 لمدة عام ؟  </t>
        </is>
      </c>
      <c r="E598" s="4" t="inlineStr"/>
    </row>
    <row r="599" ht="18" customHeight="1">
      <c r="A599" s="5" t="inlineStr">
        <is>
          <t>Reem Alajmi &lt;reemalajmi722@gmail.com&gt;</t>
        </is>
      </c>
      <c r="B599" s="6" t="inlineStr">
        <is>
          <t>reemalajmi722@gmail.com</t>
        </is>
      </c>
      <c r="C599" s="5" t="inlineStr"/>
      <c r="D599" s="5" t="inlineStr">
        <is>
          <t>Hello! How can we help you?  Report سعد فيب : 62226118   Sent from my iPhone</t>
        </is>
      </c>
      <c r="E599" s="7" t="inlineStr">
        <is>
          <t>62226118</t>
        </is>
      </c>
    </row>
    <row r="600" ht="18" customHeight="1">
      <c r="A600" s="2" t="inlineStr">
        <is>
          <t>mohamad a &lt;m7aamaad33@gmail.com&gt;</t>
        </is>
      </c>
      <c r="B600" s="3" t="inlineStr">
        <is>
          <t>m7aamaad33@gmail.com</t>
        </is>
      </c>
      <c r="C600" s="2">
        <f>?utf-8?B?2K3YsNiw2LDYsNiw2LDYsNiw2LDYsNmB?=</f>
        <v/>
      </c>
      <c r="D600" s="2" t="inlineStr">
        <is>
          <t xml:space="preserve">يرجى الحذف للخصوصية   Report أبوسالم (صباح السالم ق9)- : 66690460   Muhammad </t>
        </is>
      </c>
      <c r="E600" s="4" t="inlineStr">
        <is>
          <t>66690460</t>
        </is>
      </c>
    </row>
    <row r="601" ht="18" customHeight="1">
      <c r="A601" s="5" t="inlineStr">
        <is>
          <t>mohamad a &lt;m7aamaad33@gmail.com&gt;</t>
        </is>
      </c>
      <c r="B601" s="6" t="inlineStr">
        <is>
          <t>m7aamaad33@gmail.com</t>
        </is>
      </c>
      <c r="C601" s="5">
        <f>?utf-8?B?2K3YsNmB?=</f>
        <v/>
      </c>
      <c r="D601" s="5" t="inlineStr">
        <is>
          <t xml:space="preserve"> للخصوصية حذف?  Report حمود الرومي- : 66690460   Muhammad </t>
        </is>
      </c>
      <c r="E601" s="7" t="inlineStr">
        <is>
          <t>66690460</t>
        </is>
      </c>
    </row>
    <row r="602" ht="18" customHeight="1">
      <c r="A602" s="2">
        <f>?utf-8?B?2KfZhNmA2YDZiNiq2YDZgNmK2YDZhg==?= &lt;a.al3nzyaq8@gmail.com&gt;</f>
        <v/>
      </c>
      <c r="B602" s="3" t="inlineStr">
        <is>
          <t>a.al3nzyaq8@gmail.com</t>
        </is>
      </c>
      <c r="C602" s="2">
        <f>?utf-8?Q?=D8=A7=D8=B1=D8=AC=D9=88_=D8=AD=D8=B0=D9=81_=D8=B1?=  =?utf-8?Q?=D9=82=D9=85=D9=8A_=D9=85=D9=86_=D9=85=D9=86=D9=88_?=  =?utf-8?Q?=D8=AF=D8=A7=D9=82_66837847?=</f>
        <v/>
      </c>
      <c r="D602" s="2" t="inlineStr">
        <is>
          <t>Hello! How can we help you?  Report رفعت سلام : 66837847   ‫أُرسلت من الـ iPhone‬</t>
        </is>
      </c>
      <c r="E602" s="4" t="inlineStr">
        <is>
          <t>66837847</t>
        </is>
      </c>
    </row>
    <row r="603" ht="18" customHeight="1">
      <c r="A603" s="5" t="inlineStr">
        <is>
          <t>KHALED ALHAMILY &lt;alhamily201@gmail.com&gt;</t>
        </is>
      </c>
      <c r="B603" s="6" t="inlineStr">
        <is>
          <t>alhamily201@gmail.com</t>
        </is>
      </c>
      <c r="C603" s="5" t="inlineStr"/>
      <c r="D603" s="5" t="inlineStr">
        <is>
          <t>Hello! How can we help you?  Report الحُبْ خَاِلْدْ شِبْيِبَ اَلَّهْامِلْيِ : 98935220   ‫أُرسلت من الـ iPhone‬</t>
        </is>
      </c>
      <c r="E603" s="7" t="inlineStr">
        <is>
          <t>98935220</t>
        </is>
      </c>
    </row>
    <row r="604" ht="18" customHeight="1">
      <c r="A604" s="2" t="inlineStr">
        <is>
          <t>KHALED ALHAMILY &lt;alhamily201@gmail.com&gt;</t>
        </is>
      </c>
      <c r="B604" s="3" t="inlineStr">
        <is>
          <t>alhamily201@gmail.com</t>
        </is>
      </c>
      <c r="C604" s="2" t="inlineStr"/>
      <c r="D604" s="2" t="inlineStr">
        <is>
          <t>Hello! How can we help you?  Report (الحب)خالد شبيب الهاملي : 98935220   ‫أُرسلت من الـ iPhone‬</t>
        </is>
      </c>
      <c r="E604" s="4" t="inlineStr">
        <is>
          <t>98935220</t>
        </is>
      </c>
    </row>
    <row r="605" ht="18" customHeight="1">
      <c r="A605" s="5" t="inlineStr">
        <is>
          <t>KHALED ALHAMILY &lt;alhamily201@gmail.com&gt;</t>
        </is>
      </c>
      <c r="B605" s="6" t="inlineStr">
        <is>
          <t>alhamily201@gmail.com</t>
        </is>
      </c>
      <c r="C605" s="5" t="inlineStr"/>
      <c r="D605" s="5" t="inlineStr">
        <is>
          <t>Hello! How can we help you?  Report خالد شبيب الهاملي (الحب) : 98935220   ‫أُرسلت من الـ iPhone‬</t>
        </is>
      </c>
      <c r="E605" s="7" t="inlineStr">
        <is>
          <t>98935220</t>
        </is>
      </c>
    </row>
    <row r="606" ht="18" customHeight="1">
      <c r="A606" s="2" t="inlineStr">
        <is>
          <t>KHALED ALHAMILY &lt;alhamily201@gmail.com&gt;</t>
        </is>
      </c>
      <c r="B606" s="3" t="inlineStr">
        <is>
          <t>alhamily201@gmail.com</t>
        </is>
      </c>
      <c r="C606" s="2" t="inlineStr"/>
      <c r="D606" s="2" t="inlineStr">
        <is>
          <t>Hello! How can we help you?  Report الحب كله خالد شبيب : 98935220   ‫أُرسلت من الـ iPhone‬</t>
        </is>
      </c>
      <c r="E606" s="4" t="inlineStr">
        <is>
          <t>98935220</t>
        </is>
      </c>
    </row>
    <row r="607" ht="18" customHeight="1">
      <c r="A607" s="5" t="inlineStr">
        <is>
          <t>Aisha Hamad &lt;aisha_92_92@icloud.com&gt;</t>
        </is>
      </c>
      <c r="B607" s="6" t="inlineStr">
        <is>
          <t>aisha_92_92@icloud.com</t>
        </is>
      </c>
      <c r="C607" s="5" t="inlineStr"/>
      <c r="D607" s="5" t="inlineStr">
        <is>
          <t>Hello! How can we help you?  Report القرين قطعه5 شارع8 منزل11 : 99363317  إذا ممكن تشيلون عنواني من الموقع كل الشكر  Sent from my iPhone</t>
        </is>
      </c>
      <c r="E607" s="7" t="inlineStr">
        <is>
          <t>99363317</t>
        </is>
      </c>
    </row>
    <row r="608" ht="18" customHeight="1">
      <c r="A608" s="2" t="inlineStr">
        <is>
          <t>Aisha Hamad &lt;aisha_92_92@icloud.com&gt;</t>
        </is>
      </c>
      <c r="B608" s="3" t="inlineStr">
        <is>
          <t>aisha_92_92@icloud.com</t>
        </is>
      </c>
      <c r="C608" s="2" t="inlineStr"/>
      <c r="D608" s="2" t="inlineStr">
        <is>
          <t>Hello! How can we help you?  Report طالقرين ق5 ش8 م11 اللوكيشن بس ارد : 99363317  إذا ممكن تشيلون عنواني من الموقع كل الشكر  Sent from my iPhone</t>
        </is>
      </c>
      <c r="E608" s="4" t="inlineStr">
        <is>
          <t>99363317</t>
        </is>
      </c>
    </row>
    <row r="609" ht="18" customHeight="1">
      <c r="A609" s="5" t="inlineStr">
        <is>
          <t>Yousef Krm &lt;yousefkrm55@gmail.com&gt;</t>
        </is>
      </c>
      <c r="B609" s="6" t="inlineStr">
        <is>
          <t>yousefkrm55@gmail.com</t>
        </is>
      </c>
      <c r="C609" s="5">
        <f>?UTF-8?B?UmU6INiu2LXZiNi12YrZhyDYudmG2YjYp9mG2Yo=?=</f>
        <v/>
      </c>
      <c r="D609" s="5" t="inlineStr">
        <is>
          <t xml:space="preserve">Sent from Gmail Mobile   On Wed, 19 Mar 2025 at 6:35 PM Yousef Krm &lt;yousefkrm55@gmail.com&gt; wrote:  &gt; سلام عليكم ارجوكم فقط اريد حجب عنوان منزلي لا اريد حجب اسمي بالكامل في &gt; البرنامج ولكن يوجد عنواني الكامل بالشارع و المنزل اثناء كتابة رقمي يظهر &gt; عنوان بيتي ارجوكم فقط احجبو عنوان منزلي للخصوصيه. &gt; &gt; رقم التلفون 90050282 &gt; مكتوب عنوان النهضه &gt; &gt; كل الشكر والتقدير لكم، &gt; &gt; Sent from Gmail Mobile &gt; </t>
        </is>
      </c>
      <c r="E609" s="7" t="inlineStr">
        <is>
          <t>90050282</t>
        </is>
      </c>
    </row>
    <row r="610" ht="18" customHeight="1">
      <c r="A610" s="2" t="inlineStr">
        <is>
          <t>Abdullah Alazemi &lt;a.n.a.55703001@icloud.com&gt;</t>
        </is>
      </c>
      <c r="B610" s="3" t="inlineStr">
        <is>
          <t>a.n.a.55703001@icloud.com</t>
        </is>
      </c>
      <c r="C610" s="2">
        <f>?utf-8?B?2KfYs9mFINi62YrYsSDZhdmG2KfYs9ioINmI2KrYs9mF2YrZhyA=?=  =?utf-8?B?2K7Yt9ij?=</f>
        <v/>
      </c>
      <c r="D610" s="2" t="inlineStr">
        <is>
          <t>Hello! How can we help you?  Report بو محمد العازمي جبره : 55703001   ‫أُرسلت من الـ iPhone‬</t>
        </is>
      </c>
      <c r="E610" s="4" t="inlineStr">
        <is>
          <t>55703001</t>
        </is>
      </c>
    </row>
    <row r="611" ht="18" customHeight="1">
      <c r="A611" s="5" t="inlineStr">
        <is>
          <t>afnan almutairi &lt;afnanalmmm@gmail.com&gt;</t>
        </is>
      </c>
      <c r="B611" s="6" t="inlineStr">
        <is>
          <t>afnanalmmm@gmail.com</t>
        </is>
      </c>
      <c r="C611" s="5" t="inlineStr"/>
      <c r="D611" s="5" t="inlineStr">
        <is>
          <t>Hello! How can we help you?  Report ز زهراء 8 ش 825 : 99555390   Sent from my iPhone</t>
        </is>
      </c>
      <c r="E611" s="7" t="inlineStr">
        <is>
          <t>99555390</t>
        </is>
      </c>
    </row>
    <row r="612" ht="18" customHeight="1">
      <c r="A612" s="2" t="inlineStr">
        <is>
          <t>Omar Butaiban &lt;butaiban@hotmail.com&gt;</t>
        </is>
      </c>
      <c r="B612" s="3" t="inlineStr">
        <is>
          <t>butaiban@hotmail.com</t>
        </is>
      </c>
      <c r="C612" s="2" t="inlineStr">
        <is>
          <t>Please delete all entries99408537</t>
        </is>
      </c>
      <c r="D612" s="2" t="inlineStr">
        <is>
          <t xml:space="preserve">Hello! How can we help you?  Report RAMI : 99408537 </t>
        </is>
      </c>
      <c r="E612" s="4" t="inlineStr">
        <is>
          <t>99408537</t>
        </is>
      </c>
    </row>
    <row r="613" ht="18" customHeight="1">
      <c r="A613" s="5" t="inlineStr">
        <is>
          <t>"Reem A.m" &lt;reema.m007@gmail.com&gt;</t>
        </is>
      </c>
      <c r="B613" s="6" t="inlineStr">
        <is>
          <t>reema.m007@gmail.com</t>
        </is>
      </c>
      <c r="C613" s="5">
        <f>?utf-8?B?2YXYudmE2YjZhdin2Kog2LrZitixINi12K3Zitit2Kkg?=</f>
        <v/>
      </c>
      <c r="D613" s="5" t="inlineStr">
        <is>
          <t>Hello! How can we help you?  Report الصباحيه ق1 ش7 مدرسة : 98823320   Sent from my iPhone</t>
        </is>
      </c>
      <c r="E613" s="7" t="inlineStr">
        <is>
          <t>98823320</t>
        </is>
      </c>
    </row>
    <row r="614" ht="18" customHeight="1">
      <c r="A614" s="2" t="inlineStr">
        <is>
          <t>Mariam Altabbaa &lt;eng.mariam.altabbaa@gmail.com&gt;</t>
        </is>
      </c>
      <c r="B614" s="3" t="inlineStr">
        <is>
          <t>eng.mariam.altabbaa@gmail.com</t>
        </is>
      </c>
      <c r="C614" s="2">
        <f>?UTF-8?B?UmU6INi32YTYqCDYrdiw2YEg2LHZgtmF?=</f>
        <v/>
      </c>
      <c r="D614" s="2" t="inlineStr">
        <is>
          <t xml:space="preserve">يرجى ازالة الاسم المسيء والرد !  On Tue, Oct 21, 2025, 8:09 PM Mariam Altabbaa &lt;eng.mariam.altabbaa@gmail.com&gt; wrote:  &gt; سبق وطلبت ازالة الرقم لانه هناك اسم مسيء وتم عمل اللازم ! اليوم يوصلني مسج &gt; بجدد اشتراك البلوك ! بأي حق ترجعون تحطون الاسماء المسيئه &gt; سووا ازاله دائمه حق الاسمين 60003870 &gt; &gt; &gt; &gt; </t>
        </is>
      </c>
      <c r="E614" s="4" t="inlineStr">
        <is>
          <t>60003870</t>
        </is>
      </c>
    </row>
    <row r="615" ht="18" customHeight="1">
      <c r="A615" s="5" t="inlineStr">
        <is>
          <t>Aziz Aldooseri &lt;q8_azizaldooseri1987@icloud.com&gt;</t>
        </is>
      </c>
      <c r="B615" s="6" t="inlineStr">
        <is>
          <t>q8_azizaldooseri1987@icloud.com</t>
        </is>
      </c>
      <c r="C615" s="5">
        <f>?utf-8?B?2KfYrtmB2KfYoSDZh9iw2Kcg?=</f>
        <v/>
      </c>
      <c r="D615" s="5" t="inlineStr">
        <is>
          <t>Hello! How can we help you?  Report مطلوب- : 97795571   ‫أُرسلت من الـ iPhone‬</t>
        </is>
      </c>
      <c r="E615" s="7" t="inlineStr">
        <is>
          <t>97795571</t>
        </is>
      </c>
    </row>
    <row r="616" ht="18" customHeight="1">
      <c r="A616" s="2" t="inlineStr">
        <is>
          <t>Aziz Aldooseri &lt;q8_azizaldooseri1987@icloud.com&gt;</t>
        </is>
      </c>
      <c r="B616" s="3" t="inlineStr">
        <is>
          <t>q8_azizaldooseri1987@icloud.com</t>
        </is>
      </c>
      <c r="C616" s="2">
        <f>?utf-8?B?2KfZhNix2KzYp9ihINin2K7Zgdin2KEg2YfYsNinINin2YTYqtiu?=  =?utf-8?B?2LLZitmG?=</f>
        <v/>
      </c>
      <c r="D616" s="2" t="inlineStr">
        <is>
          <t>Hello! How can we help you?  Report فيصل تأي- : 97795571   ‫أُرسلت من الـ iPhone‬</t>
        </is>
      </c>
      <c r="E616" s="4" t="inlineStr">
        <is>
          <t>97795571</t>
        </is>
      </c>
    </row>
    <row r="617" ht="18" customHeight="1">
      <c r="A617" s="5" t="inlineStr">
        <is>
          <t>K K &lt;k.alm6iry@hotmail.com&gt;</t>
        </is>
      </c>
      <c r="B617" s="6" t="inlineStr">
        <is>
          <t>k.alm6iry@hotmail.com</t>
        </is>
      </c>
      <c r="C617" s="5">
        <f>?utf-8?B?2KfZhNiz2YTYp9mFINi52YTZitmD2YUg?=</f>
        <v/>
      </c>
      <c r="D617"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617" s="7" t="inlineStr">
        <is>
          <t>65188868</t>
        </is>
      </c>
    </row>
    <row r="618" ht="18" customHeight="1">
      <c r="A618" s="2" t="inlineStr">
        <is>
          <t>Fatma &lt;faalrsh6@gmail.com&gt;</t>
        </is>
      </c>
      <c r="B618" s="3" t="inlineStr">
        <is>
          <t>faalrsh6@gmail.com</t>
        </is>
      </c>
      <c r="C618" s="2">
        <f>?utf-8?B?2KfZhNix2KzYp9ihINmF2LPYrSDYp9mE2KfYs9mFICEhIQ==?=</f>
        <v/>
      </c>
      <c r="D618" s="2" t="inlineStr">
        <is>
          <t>Hello! How can we help you?  Report فاطمة الصليبية : 99005269   Sent from my iPhone</t>
        </is>
      </c>
      <c r="E618" s="4" t="inlineStr">
        <is>
          <t>99005269</t>
        </is>
      </c>
    </row>
    <row r="619" ht="18" customHeight="1">
      <c r="A619" s="5" t="inlineStr">
        <is>
          <t>Bazza aladwani &lt;bazzaaladwani@gmail.com&gt;</t>
        </is>
      </c>
      <c r="B619" s="6" t="inlineStr">
        <is>
          <t>bazzaaladwani@gmail.com</t>
        </is>
      </c>
      <c r="C619" s="5" t="inlineStr"/>
      <c r="D619" s="5" t="inlineStr">
        <is>
          <t xml:space="preserve"> السلام عليكم ابي رابط التطبيق</t>
        </is>
      </c>
      <c r="E619" s="7" t="inlineStr"/>
    </row>
    <row r="620" ht="18" customHeight="1">
      <c r="A620" s="2" t="inlineStr">
        <is>
          <t>m6iyr &lt;alm6iry@hotmail.com&gt;</t>
        </is>
      </c>
      <c r="B620" s="3" t="inlineStr">
        <is>
          <t>alm6iry@hotmail.com</t>
        </is>
      </c>
      <c r="C620" s="2">
        <f>?utf-8?B?2YXZh9mFINis2K/Yp9mLINiMICDYudiv2YUg2YbYtNixINmF2LnZhNmI2YU=?=  =?utf-8?B?2KfYqtmKINin2YTYtNiu2LXZitmHIA==?=</f>
        <v/>
      </c>
      <c r="D620" s="2" t="inlineStr">
        <is>
          <t xml:space="preserve">﻿ ﻿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620" s="4" t="inlineStr">
        <is>
          <t>65188868</t>
        </is>
      </c>
    </row>
    <row r="621" ht="18" customHeight="1">
      <c r="A621" s="5">
        <f>?utf-8?B?2K3ZhdmI2K8g2YHZh9iv?= &lt;alaskar_q8@hotmail.com&gt;</f>
        <v/>
      </c>
      <c r="B621" s="6" t="inlineStr">
        <is>
          <t>alaskar_q8@hotmail.com</t>
        </is>
      </c>
      <c r="C621" s="5">
        <f>?utf-8?B?2KfYs9mF2KfYoSDYutmK2LEg2LXYrdmK2K3YqSA=?=</f>
        <v/>
      </c>
      <c r="D621" s="5" t="inlineStr">
        <is>
          <t xml:space="preserve">Hello! How can we help you?  Report طلال صليبية : 51510571  ‏‫من الـ iPhone الخاص بي‬ </t>
        </is>
      </c>
      <c r="E621" s="7" t="inlineStr">
        <is>
          <t>51510571</t>
        </is>
      </c>
    </row>
    <row r="622" ht="18" customHeight="1">
      <c r="A622" s="2">
        <f>?utf-8?B?2K3ZhdmI2K8g2YHZh9iv?= &lt;alaskar_q8@hotmail.com&gt;</f>
        <v/>
      </c>
      <c r="B622" s="3" t="inlineStr">
        <is>
          <t>alaskar_q8@hotmail.com</t>
        </is>
      </c>
      <c r="C622" s="2">
        <f>?utf-8?B?2KfYs9mFINmK2KrYttmF2YbZkSDYp9mE2KfYs9in2KbZhyA=?=</f>
        <v/>
      </c>
      <c r="D622" s="2" t="inlineStr">
        <is>
          <t xml:space="preserve">Hello! How can we help you?  Report شوشو طارق : 51510571  ‏‫من الـ iPhone الخاص بي‬ </t>
        </is>
      </c>
      <c r="E622" s="4" t="inlineStr">
        <is>
          <t>51510571</t>
        </is>
      </c>
    </row>
    <row r="623" ht="18" customHeight="1">
      <c r="A623" s="5">
        <f>?utf-8?B?2K3ZhdmI2K8g2YHZh9iv?= &lt;alaskar_q8@hotmail.com&gt;</f>
        <v/>
      </c>
      <c r="B623" s="6" t="inlineStr">
        <is>
          <t>alaskar_q8@hotmail.com</t>
        </is>
      </c>
      <c r="C623" s="5">
        <f>?utf-8?B?2KfYs9mFINmK2KrYttmF2YbZkSDYp9mE2KfYs9in2KbZhyA=?=</f>
        <v/>
      </c>
      <c r="D623" s="5" t="inlineStr">
        <is>
          <t xml:space="preserve">Hello! How can we help you?  Report دوره طلال خلف الاسلمي الشمري : 51510571  ‏‫من الـ iPhone الخاص بي‬ </t>
        </is>
      </c>
      <c r="E623" s="7" t="inlineStr">
        <is>
          <t>51510571</t>
        </is>
      </c>
    </row>
    <row r="624" ht="18" customHeight="1">
      <c r="A624" s="2">
        <f>?utf-8?B?2K3ZhdmI2K8g2YHZh9iv?= &lt;alaskar_q8@hotmail.com&gt;</f>
        <v/>
      </c>
      <c r="B624" s="3" t="inlineStr">
        <is>
          <t>alaskar_q8@hotmail.com</t>
        </is>
      </c>
      <c r="C624" s="2">
        <f>?utf-8?B?2KfZhNin2LPZhSDYutmK2LEg2LXYrdmK2K0=?=</f>
        <v/>
      </c>
      <c r="D624" s="2" t="inlineStr">
        <is>
          <t xml:space="preserve">Hello! How can we help you?  Report فهد حمود العسكر : 66033099  ‏‫من الـ iPhone الخاص بي‬ </t>
        </is>
      </c>
      <c r="E624" s="4" t="inlineStr">
        <is>
          <t>66033099</t>
        </is>
      </c>
    </row>
    <row r="625" ht="18" customHeight="1">
      <c r="A625" s="5">
        <f>?utf-8?B?2K3ZhdmI2K8g2YHZh9iv?= &lt;alaskar_q8@hotmail.com&gt;</f>
        <v/>
      </c>
      <c r="B625" s="6" t="inlineStr">
        <is>
          <t>alaskar_q8@hotmail.com</t>
        </is>
      </c>
      <c r="C625" s="5">
        <f>?utf-8?B?2KfYs9mFINi62YrYsSDZhNin2KbZgg==?=</f>
        <v/>
      </c>
      <c r="D625" s="5" t="inlineStr">
        <is>
          <t xml:space="preserve">Hello! How can we help you?  Report نسافات / ديزل بو حمود : 66033099  ‏‫من الـ iPhone الخاص بي‬ </t>
        </is>
      </c>
      <c r="E625" s="7" t="inlineStr">
        <is>
          <t>66033099</t>
        </is>
      </c>
    </row>
    <row r="626" ht="18" customHeight="1">
      <c r="A626" s="2" t="inlineStr">
        <is>
          <t>m6iyr &lt;alm6iry@hotmail.com&gt;</t>
        </is>
      </c>
      <c r="B626" s="3" t="inlineStr">
        <is>
          <t>alm6iry@hotmail.com</t>
        </is>
      </c>
      <c r="C626" s="2">
        <f>?utf-8?B?2YXZh9mFINis2K/Yp9mLINiMICDYudiv2YUg2YbYtNixINmF2LnZhNmI2YU=?=  =?utf-8?B?2KfYqtmKINin2YTYtNiu2LXZitmHIA==?=</f>
        <v/>
      </c>
      <c r="D626" s="2" t="inlineStr">
        <is>
          <t xml:space="preserve">﻿ ﻿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626" s="4" t="inlineStr">
        <is>
          <t>65188868</t>
        </is>
      </c>
    </row>
    <row r="627" ht="18" customHeight="1">
      <c r="A627" s="5" t="inlineStr">
        <is>
          <t>Anoud Alotaibi &lt;anoudalhabbai2@icloud.com&gt;</t>
        </is>
      </c>
      <c r="B627" s="6" t="inlineStr">
        <is>
          <t>anoudalhabbai2@icloud.com</t>
        </is>
      </c>
      <c r="C627" s="5">
        <f>?utf-8?B?2YXYs9it?=</f>
        <v/>
      </c>
      <c r="D627" s="5" t="inlineStr">
        <is>
          <t>Hello! How can we help you?  Report عزيز ابو سعود شيشه : 50002055   Sent from my iPhone</t>
        </is>
      </c>
      <c r="E627" s="7" t="inlineStr">
        <is>
          <t>50002055</t>
        </is>
      </c>
    </row>
    <row r="628" ht="18" customHeight="1">
      <c r="A628" s="2" t="inlineStr">
        <is>
          <t>Anoud Alotaibi &lt;anoudalhabbai2@icloud.com&gt;</t>
        </is>
      </c>
      <c r="B628" s="3" t="inlineStr">
        <is>
          <t>anoudalhabbai2@icloud.com</t>
        </is>
      </c>
      <c r="C628" s="2">
        <f>?utf-8?B?2YXYs9it?=</f>
        <v/>
      </c>
      <c r="D628" s="2" t="inlineStr">
        <is>
          <t>Hello! How can we help you?  Report عزيز- : 50002055   Sent from my iPhone</t>
        </is>
      </c>
      <c r="E628" s="4" t="inlineStr">
        <is>
          <t>50002055</t>
        </is>
      </c>
    </row>
    <row r="629" ht="18" customHeight="1">
      <c r="A629" s="5" t="inlineStr">
        <is>
          <t>Abdulmohsen Almansour &lt;a.a.almansour@hotmail.com&gt;</t>
        </is>
      </c>
      <c r="B629" s="6" t="inlineStr">
        <is>
          <t>a.a.almansour@hotmail.com</t>
        </is>
      </c>
      <c r="C629" s="5" t="inlineStr">
        <is>
          <t>False name</t>
        </is>
      </c>
      <c r="D629" s="5" t="inlineStr">
        <is>
          <t xml:space="preserve">Hello! How can we help you?  Report Hamad-Alhashash : 99988033  Please erase this name under that number as it belongs to my wife   Best regards </t>
        </is>
      </c>
      <c r="E629" s="7" t="inlineStr">
        <is>
          <t>99988033</t>
        </is>
      </c>
    </row>
    <row r="630" ht="18" customHeight="1">
      <c r="A630" s="2" t="inlineStr">
        <is>
          <t>Abdulmohsen Almansour &lt;a.a.almansour@hotmail.com&gt;</t>
        </is>
      </c>
      <c r="B630" s="3" t="inlineStr">
        <is>
          <t>a.a.almansour@hotmail.com</t>
        </is>
      </c>
      <c r="C630" s="2" t="inlineStr">
        <is>
          <t>False name</t>
        </is>
      </c>
      <c r="D630" s="2" t="inlineStr">
        <is>
          <t xml:space="preserve">Hello! How can we help you?  Report Hamad Alhashash : 99988033  Please erase this name, as the number belongs to my wife not that name </t>
        </is>
      </c>
      <c r="E630" s="4" t="inlineStr">
        <is>
          <t>99988033</t>
        </is>
      </c>
    </row>
    <row r="631" ht="18" customHeight="1">
      <c r="A631" s="5" t="inlineStr">
        <is>
          <t>Abdullah Alhajeri &lt;lawyer.a.alhajeri@gmail.com&gt;</t>
        </is>
      </c>
      <c r="B631" s="6" t="inlineStr">
        <is>
          <t>lawyer.a.alhajeri@gmail.com</t>
        </is>
      </c>
      <c r="C631" s="5">
        <f>?UTF-8?B?RndkOiDYt9mE2Kgg2LHYs9mF2Yog2YTYrdiw2YEg2KjZitin2YbYp9iq2Yog2KfZhNi0?= 	=?UTF-8?B?2K7YtdmK2Kkg2YXZhiDYqti32KjZitmCIOKAnNmF2YbZiCDYr9in2YIi?=</f>
        <v/>
      </c>
      <c r="D631" s="5" t="inlineStr">
        <is>
          <t>---------- رسالة مُعاد توجيهها --------- من: Abdullah Alhajeri &lt;lawyer.a.alhajeri@gmail.com&gt; التاريخ: خميس، 20 مارس، 2025 في 2:08 ص الموضوع: طلب رسمي لحذف بياناتي الشخصية من تطبيق “منو داق" إلى: sales@menodag.com &lt;sales@menodag.com&gt;   السادة القائمين على تطبيق “منو داق”،  تحية طيبة وبعد،   أنا [ المحامي / عبدالله الهاجري ]، محامي وعضو جمعية المحامين الكويتية في دولة الكويت، أكتب إليكم بصفتي الشخصية، حيث أطلب منكم حذف بياناتي الشخصية المدرجة في تطبيقكم “منو داق”، والتي تشمل أرقام هواتفي الشخصية [99808434 / 99544101 ] واسمي [عبدالله الهاجري ].   إنني لم أوافق مسبقًا على جمع أو نشر بياناتي الشخصية عبر تطبيقكم، وأعتبر هذا انتهاكًا لخصوصيتي وحقوقي وفقًا لقوانين حماية البيانات الشخصية في دولة الكو ...</t>
        </is>
      </c>
      <c r="E631" s="7" t="inlineStr">
        <is>
          <t>99808434, 99544101</t>
        </is>
      </c>
    </row>
    <row r="632" ht="18" customHeight="1">
      <c r="A632" s="2">
        <f>?utf-8?B?2K/Yp9mI2K8g2KfZhNi52KzZhdmK?= &lt;davd.o@hotmail.com&gt;</f>
        <v/>
      </c>
      <c r="B632" s="3" t="inlineStr">
        <is>
          <t>davd.o@hotmail.com</t>
        </is>
      </c>
      <c r="C632" s="2" t="inlineStr"/>
      <c r="D632" s="2" t="inlineStr">
        <is>
          <t xml:space="preserve">Hello! How can we help you?  عندي اشتراك بلوك على رقم 55554072 جددته شهر 4/2025 والان واصلتني رسالة انتهى اشتراكك؟؟ انا مسوي عليه بلوك كالعاده كل سنه الان كمل 6 شهور فقط؟ الرجاء الافاده Sent from my iPhone </t>
        </is>
      </c>
      <c r="E632" s="4" t="inlineStr">
        <is>
          <t>55554072</t>
        </is>
      </c>
    </row>
    <row r="633" ht="18" customHeight="1">
      <c r="A633" s="5" t="inlineStr">
        <is>
          <t>Mohammed Alj &lt;moody.s.j@icloud.com&gt;</t>
        </is>
      </c>
      <c r="B633" s="6" t="inlineStr">
        <is>
          <t>moody.s.j@icloud.com</t>
        </is>
      </c>
      <c r="C633" s="5">
        <f>?utf-8?B?2YrYsdis2Yog2YXYs9itINin2YTYp9iz2YUg?=</f>
        <v/>
      </c>
      <c r="D633" s="5" t="inlineStr">
        <is>
          <t>Hello! How can we help you?  Report احمد ابنى الاهبل : 67776790   ‫أُرسلت من الـ iPhone‬</t>
        </is>
      </c>
      <c r="E633" s="7" t="inlineStr">
        <is>
          <t>67776790</t>
        </is>
      </c>
    </row>
    <row r="634" ht="18" customHeight="1">
      <c r="A634" s="2" t="inlineStr">
        <is>
          <t>Mohammed Alj &lt;moody.s.j@icloud.com&gt;</t>
        </is>
      </c>
      <c r="B634" s="3" t="inlineStr">
        <is>
          <t>moody.s.j@icloud.com</t>
        </is>
      </c>
      <c r="C634" s="2">
        <f>?utf-8?B?2YfYsNinINi52YbZiNin2YYg2YXZhtiy2YTZiiDZitix2KzZiiA=?=  =?utf-8?B?2YXYs9it2Yc=?=</f>
        <v/>
      </c>
      <c r="D634" s="2" t="inlineStr">
        <is>
          <t>Hello! How can we help you?  Report الجارالله باب شاور كيفان ق 1 ش القدس م 33 : 67776790   ‫أُرسلت من الـ iPhone‬</t>
        </is>
      </c>
      <c r="E634" s="4" t="inlineStr">
        <is>
          <t>67776790</t>
        </is>
      </c>
    </row>
    <row r="635" ht="18" customHeight="1">
      <c r="A635" s="5" t="inlineStr">
        <is>
          <t>ahmed taha &lt;ahmedzikoh@yahoo.com&gt;</t>
        </is>
      </c>
      <c r="B635" s="6" t="inlineStr">
        <is>
          <t>ahmedzikoh@yahoo.com</t>
        </is>
      </c>
      <c r="C635" s="5">
        <f>?utf-8?B?2LfZhNioINit2LDZgSDYsdmC2YU=?=</f>
        <v/>
      </c>
      <c r="D635" s="5" t="inlineStr">
        <is>
          <t>اريد حذف كل اسم على هذا الرقم متعلق بالسيارات او الباصات حيث انها معلومات قديمة جداً</t>
        </is>
      </c>
      <c r="E635" s="7" t="inlineStr"/>
    </row>
    <row r="636" ht="18" customHeight="1">
      <c r="A636" s="2" t="inlineStr">
        <is>
          <t>Soud Alqwe3an &lt;soud.alqwe3an@gmail.com&gt;</t>
        </is>
      </c>
      <c r="B636" s="3" t="inlineStr">
        <is>
          <t>soud.alqwe3an@gmail.com</t>
        </is>
      </c>
      <c r="C636" s="2">
        <f>?utf-8?B?2YfYp9mE2KfYs9mFINmF2Ygg2KfYs9mF2Yog2YrYsdis2Ykg2Kc=?=  =?utf-8?B?2LLYp9mE2KrZhyA=?=</f>
        <v/>
      </c>
      <c r="D636" s="2" t="inlineStr">
        <is>
          <t>Hello! How can we help you?  Report مشعل السبيعي - : 55552442   ‫أُرسلت من الـ iPhone‬</t>
        </is>
      </c>
      <c r="E636" s="4" t="inlineStr">
        <is>
          <t>55552442</t>
        </is>
      </c>
    </row>
    <row r="637" ht="18" customHeight="1">
      <c r="A637" s="5">
        <f>?utf-8?B?2KzYsdin2K0g2KfZhNi52KrZitio2Yo=?= &lt;al3tibi1988@gmail.com&gt;</f>
        <v/>
      </c>
      <c r="B637" s="6" t="inlineStr">
        <is>
          <t>al3tibi1988@gmail.com</t>
        </is>
      </c>
      <c r="C637" s="5">
        <f>?utf-8?B?2YXYs9itINin2LPZhSDYp9mE2KrYrtiy2YrZhg==?=</f>
        <v/>
      </c>
      <c r="D637" s="5" t="inlineStr">
        <is>
          <t xml:space="preserve">Hello! How can we help you?  Report جوجو العتيبي : 65565888   ‫أُرسلت من الـ iPhone‬ الرجاء المسح من الموقع </t>
        </is>
      </c>
      <c r="E637" s="7" t="inlineStr">
        <is>
          <t>65565888</t>
        </is>
      </c>
    </row>
    <row r="638" ht="18" customHeight="1">
      <c r="A638" s="2">
        <f>?utf-8?B?2KzYsdin2K0g2KfZhNi52KrZitio2Yo=?= &lt;al3tibi1988@gmail.com&gt;</f>
        <v/>
      </c>
      <c r="B638" s="3" t="inlineStr">
        <is>
          <t>al3tibi1988@gmail.com</t>
        </is>
      </c>
      <c r="C638" s="2" t="inlineStr"/>
      <c r="D638" s="2" t="inlineStr">
        <is>
          <t>Hello! How can we help you?  Report جوجو العتيبي : 65565888   ‫أُرسلت من الـ iPhone‬</t>
        </is>
      </c>
      <c r="E638" s="4" t="inlineStr">
        <is>
          <t>65565888</t>
        </is>
      </c>
    </row>
    <row r="639" ht="18" customHeight="1">
      <c r="A639" s="5" t="inlineStr">
        <is>
          <t>M A &lt;m7md855@icloud.com&gt;</t>
        </is>
      </c>
      <c r="B639" s="6" t="inlineStr">
        <is>
          <t>m7md855@icloud.com</t>
        </is>
      </c>
      <c r="C639" s="5">
        <f>?utf-8?B?2KfYsdis2Ygg2K3YsNmBINis2YXZiti5INin2YTYp9iz2YXYp9ih?=  =?utf-8?B?INmI2KfZhNin2LHZgtin2YUg2KrZg9ix2YXYpw==?=</f>
        <v/>
      </c>
      <c r="D639" s="5" t="inlineStr">
        <is>
          <t xml:space="preserve">Hello! How can we help you?    ارجو حذف جميع الاسماء والارقام تكرما    Report عبدالله محمد طحوس- : 55558483  </t>
        </is>
      </c>
      <c r="E639" s="7" t="inlineStr">
        <is>
          <t>55558483</t>
        </is>
      </c>
    </row>
    <row r="640" ht="18" customHeight="1">
      <c r="A640" s="2" t="inlineStr">
        <is>
          <t>reta alrashid &lt;ralrashid96@gmail.com&gt;</t>
        </is>
      </c>
      <c r="B640" s="3" t="inlineStr">
        <is>
          <t>ralrashid96@gmail.com</t>
        </is>
      </c>
      <c r="C640" s="2" t="inlineStr"/>
      <c r="D640" s="2" t="inlineStr">
        <is>
          <t xml:space="preserve">Hello! How can we help you?  Report 296020800465 : 66638879  </t>
        </is>
      </c>
      <c r="E640" s="4" t="inlineStr">
        <is>
          <t>66638879</t>
        </is>
      </c>
    </row>
    <row r="641" ht="18" customHeight="1">
      <c r="A641" s="5" t="inlineStr">
        <is>
          <t>Adil Mohammed &lt;adilmohammed78901@gmail.com&gt;</t>
        </is>
      </c>
      <c r="B641" s="6" t="inlineStr">
        <is>
          <t>adilmohammed78901@gmail.com</t>
        </is>
      </c>
      <c r="C641" s="5" t="inlineStr">
        <is>
          <t>Add My Company</t>
        </is>
      </c>
      <c r="D641" s="5"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641" s="7" t="inlineStr"/>
    </row>
    <row r="642" ht="18" customHeight="1">
      <c r="A642" s="2" t="inlineStr">
        <is>
          <t>Otb Otb &lt;otbb70@gmail.com&gt;</t>
        </is>
      </c>
      <c r="B642" s="3" t="inlineStr">
        <is>
          <t>otbb70@gmail.com</t>
        </is>
      </c>
      <c r="C642" s="2">
        <f>?utf-8?B?2YTZitizINin2LPZhSDYtdin2K3YqCDYp9mE2YfYp9iq2YE=?=</f>
        <v/>
      </c>
      <c r="D642" s="2" t="inlineStr">
        <is>
          <t>Hello! How can we help you?  Report Shahoda : 55255502   ‫أُرسلت من الـ iPhone‬</t>
        </is>
      </c>
      <c r="E642" s="4" t="inlineStr">
        <is>
          <t>55255502</t>
        </is>
      </c>
    </row>
    <row r="643" ht="18" customHeight="1">
      <c r="A643" s="5" t="inlineStr">
        <is>
          <t>Otb Otb &lt;otbb70@gmail.com&gt;</t>
        </is>
      </c>
      <c r="B643" s="6" t="inlineStr">
        <is>
          <t>otbb70@gmail.com</t>
        </is>
      </c>
      <c r="C643" s="5">
        <f>?utf-8?B?2YTZitizINin2LPZhSDYtdin2K3YqCDYp9mE2YfYp9iq2YE=?=</f>
        <v/>
      </c>
      <c r="D643" s="5" t="inlineStr">
        <is>
          <t>Hello! How can we help you?  Report شاهد3 : 55255502   ‫أُرسلت من الـ iPhone‬</t>
        </is>
      </c>
      <c r="E643" s="7" t="inlineStr">
        <is>
          <t>55255502</t>
        </is>
      </c>
    </row>
    <row r="644" ht="18" customHeight="1">
      <c r="A644" s="2" t="inlineStr">
        <is>
          <t>Otb Otb &lt;otbb70@gmail.com&gt;</t>
        </is>
      </c>
      <c r="B644" s="3" t="inlineStr">
        <is>
          <t>otbb70@gmail.com</t>
        </is>
      </c>
      <c r="C644" s="2">
        <f>?utf-8?B?2YTZitizINin2LPZhSDYtdin2K3YqCDYp9mE2YfYp9iq2YE=?=</f>
        <v/>
      </c>
      <c r="D644" s="2" t="inlineStr">
        <is>
          <t>Hello! How can we help you?  Report شهدي : 55255502   ‫أُرسلت من الـ iPhone‬</t>
        </is>
      </c>
      <c r="E644" s="4" t="inlineStr">
        <is>
          <t>55255502</t>
        </is>
      </c>
    </row>
    <row r="645" ht="18" customHeight="1">
      <c r="A645" s="5" t="inlineStr">
        <is>
          <t>Otb Otb &lt;otbb70@gmail.com&gt;</t>
        </is>
      </c>
      <c r="B645" s="6" t="inlineStr">
        <is>
          <t>otbb70@gmail.com</t>
        </is>
      </c>
      <c r="C645" s="5" t="inlineStr"/>
      <c r="D645" s="5" t="inlineStr">
        <is>
          <t>Hello! How can we help you?  Report جاسم محمد- : 55255502   ‫أُرسلت من الـ iPhone‬ ليس اسم صاحب الهاتف</t>
        </is>
      </c>
      <c r="E645" s="7" t="inlineStr">
        <is>
          <t>55255502</t>
        </is>
      </c>
    </row>
    <row r="646" ht="18" customHeight="1">
      <c r="A646" s="2" t="inlineStr">
        <is>
          <t>Otb Otb &lt;otbb70@gmail.com&gt;</t>
        </is>
      </c>
      <c r="B646" s="3" t="inlineStr">
        <is>
          <t>otbb70@gmail.com</t>
        </is>
      </c>
      <c r="C646" s="2">
        <f>?utf-8?B?2YTZitizINin2LPZhSDYtdin2K3YqCDYp9mE2YfYp9iq2YE=?=</f>
        <v/>
      </c>
      <c r="D646" s="2" t="inlineStr">
        <is>
          <t>Hello! How can we help you?  Report شهوده : 55255502   ‫أُرسلت من الـ iPhone‬</t>
        </is>
      </c>
      <c r="E646" s="4" t="inlineStr">
        <is>
          <t>55255502</t>
        </is>
      </c>
    </row>
    <row r="647" ht="18" customHeight="1">
      <c r="A647" s="5">
        <f>?utf-8?B?2KjYr9ixINit2YXZiNiv?= &lt;bader198912@gmail.com&gt;</f>
        <v/>
      </c>
      <c r="B647" s="6" t="inlineStr">
        <is>
          <t>bader198912@gmail.com</t>
        </is>
      </c>
      <c r="C647" s="5">
        <f>?utf-8?B?2YTYutin2KE=?=</f>
        <v/>
      </c>
      <c r="D647" s="5" t="inlineStr">
        <is>
          <t>Hello! How can we help you?  Report ء2 منصور الدريبي : 96962229   ‫أُرسلت من الـ iPhone‬</t>
        </is>
      </c>
      <c r="E647" s="7" t="inlineStr">
        <is>
          <t>96962229</t>
        </is>
      </c>
    </row>
    <row r="648" ht="18" customHeight="1">
      <c r="A648" s="2">
        <f>?utf-8?B?2KjYr9ixINit2YXZiNiv?= &lt;bader198912@gmail.com&gt;</f>
        <v/>
      </c>
      <c r="B648" s="3" t="inlineStr">
        <is>
          <t>bader198912@gmail.com</t>
        </is>
      </c>
      <c r="C648" s="2">
        <f>?utf-8?B?2YTYutin2KE=?=</f>
        <v/>
      </c>
      <c r="D648" s="2" t="inlineStr">
        <is>
          <t>Hello! How can we help you?  Report بدر حمود شروكي- : 96962229   ‫أُرسلت من الـ iPhone‬</t>
        </is>
      </c>
      <c r="E648" s="4" t="inlineStr">
        <is>
          <t>96962229</t>
        </is>
      </c>
    </row>
    <row r="649" ht="18" customHeight="1">
      <c r="A649" s="5">
        <f>?utf-8?B?2KjYr9ixINit2YXZiNiv?= &lt;bader198912@gmail.com&gt;</f>
        <v/>
      </c>
      <c r="B649" s="6" t="inlineStr">
        <is>
          <t>bader198912@gmail.com</t>
        </is>
      </c>
      <c r="C649" s="5">
        <f>?utf-8?B?2YTYutin2KE=?=</f>
        <v/>
      </c>
      <c r="D649" s="5" t="inlineStr">
        <is>
          <t>Hello! How can we help you?  Report بدر جاكوار- : 96962229   ‫أُرسلت من الـ iPhone‬</t>
        </is>
      </c>
      <c r="E649" s="7" t="inlineStr">
        <is>
          <t>96962229</t>
        </is>
      </c>
    </row>
    <row r="650" ht="18" customHeight="1">
      <c r="A650" s="2">
        <f>?utf-8?B?2KjYr9ixINit2YXZiNiv?= &lt;bader198912@gmail.com&gt;</f>
        <v/>
      </c>
      <c r="B650" s="3" t="inlineStr">
        <is>
          <t>bader198912@gmail.com</t>
        </is>
      </c>
      <c r="C650" s="2">
        <f>?utf-8?B?2YTYutin2KE=?=</f>
        <v/>
      </c>
      <c r="D650" s="2" t="inlineStr">
        <is>
          <t>Hello! How can we help you?  Report - : 96962229   ‫أُرسلت من الـ iPhone‬</t>
        </is>
      </c>
      <c r="E650" s="4" t="inlineStr">
        <is>
          <t>96962229</t>
        </is>
      </c>
    </row>
    <row r="651" ht="18" customHeight="1">
      <c r="A651" s="5">
        <f>?utf-8?B?2KjYr9ixINit2YXZiNiv?= &lt;bader198912@gmail.com&gt;</f>
        <v/>
      </c>
      <c r="B651" s="6" t="inlineStr">
        <is>
          <t>bader198912@gmail.com</t>
        </is>
      </c>
      <c r="C651" s="5">
        <f>?utf-8?B?2YTYutin2KE=?=</f>
        <v/>
      </c>
      <c r="D651" s="5" t="inlineStr">
        <is>
          <t>Hello! How can we help you?  Report عمتي سهام 1 : 96962229   ‫أُرسلت من الـ iPhone‬</t>
        </is>
      </c>
      <c r="E651" s="7" t="inlineStr">
        <is>
          <t>96962229</t>
        </is>
      </c>
    </row>
    <row r="652" ht="18" customHeight="1">
      <c r="A652" s="2">
        <f>?utf-8?B?2KjYr9ixINit2YXZiNiv?= &lt;bader198912@gmail.com&gt;</f>
        <v/>
      </c>
      <c r="B652" s="3" t="inlineStr">
        <is>
          <t>bader198912@gmail.com</t>
        </is>
      </c>
      <c r="C652" s="2">
        <f>?utf-8?B?2YTYutin2KE=?=</f>
        <v/>
      </c>
      <c r="D652" s="2" t="inlineStr">
        <is>
          <t>Hello! How can we help you?  Report رفيج لطيف : 96962229   ‫أُرسلت من الـ iPhone‬</t>
        </is>
      </c>
      <c r="E652" s="4" t="inlineStr">
        <is>
          <t>96962229</t>
        </is>
      </c>
    </row>
    <row r="653" ht="18" customHeight="1">
      <c r="A653" s="5">
        <f>?utf-8?B?2KjYr9ixINit2YXZiNiv?= &lt;bader198912@gmail.com&gt;</f>
        <v/>
      </c>
      <c r="B653" s="6" t="inlineStr">
        <is>
          <t>bader198912@gmail.com</t>
        </is>
      </c>
      <c r="C653" s="5">
        <f>?utf-8?B?2YTYutin?=</f>
        <v/>
      </c>
      <c r="D653" s="5" t="inlineStr">
        <is>
          <t>Hello! How can we help you?  Report مردوده : 96962229   ‫أُرسلت من الـ iPhone‬</t>
        </is>
      </c>
      <c r="E653" s="7" t="inlineStr">
        <is>
          <t>96962229</t>
        </is>
      </c>
    </row>
    <row r="654" ht="18" customHeight="1">
      <c r="A654" s="2">
        <f>?utf-8?B?2KjYr9ixINit2YXZiNiv?= &lt;bader198912@gmail.com&gt;</f>
        <v/>
      </c>
      <c r="B654" s="3" t="inlineStr">
        <is>
          <t>bader198912@gmail.com</t>
        </is>
      </c>
      <c r="C654" s="2">
        <f>?utf-8?B?2YTYutin2KE=?=</f>
        <v/>
      </c>
      <c r="D654" s="2" t="inlineStr">
        <is>
          <t>Hello! How can we help you?  Report بدر حمود 96 : 96962229   ‫أُرسلت من الـ iPhone‬</t>
        </is>
      </c>
      <c r="E654" s="4" t="inlineStr">
        <is>
          <t>96962229</t>
        </is>
      </c>
    </row>
    <row r="655" ht="18" customHeight="1">
      <c r="A655" s="5">
        <f>?utf-8?B?2KjYr9ixINit2YXZiNiv?= &lt;bader198912@gmail.com&gt;</f>
        <v/>
      </c>
      <c r="B655" s="6" t="inlineStr">
        <is>
          <t>bader198912@gmail.com</t>
        </is>
      </c>
      <c r="C655" s="5">
        <f>?utf-8?B?2YTYutin2KE=?=</f>
        <v/>
      </c>
      <c r="D655" s="5" t="inlineStr">
        <is>
          <t>Hello! How can we help you?  Report بسام7- : 96962229   ‫أُرسلت من الـ iPhone‬</t>
        </is>
      </c>
      <c r="E655" s="7" t="inlineStr">
        <is>
          <t>96962229</t>
        </is>
      </c>
    </row>
    <row r="656" ht="18" customHeight="1">
      <c r="A656" s="2">
        <f>?utf-8?B?2KjYr9ixINit2YXZiNiv?= &lt;bader198912@gmail.com&gt;</f>
        <v/>
      </c>
      <c r="B656" s="3" t="inlineStr">
        <is>
          <t>bader198912@gmail.com</t>
        </is>
      </c>
      <c r="C656" s="2">
        <f>?utf-8?B?2YTYutin2KE=?=</f>
        <v/>
      </c>
      <c r="D656" s="2" t="inlineStr">
        <is>
          <t>Hello! How can we help you?  Report توومي : 96962229   ‫أُرسلت من الـ iPhone‬</t>
        </is>
      </c>
      <c r="E656" s="4" t="inlineStr">
        <is>
          <t>96962229</t>
        </is>
      </c>
    </row>
    <row r="657" ht="18" customHeight="1">
      <c r="A657" s="5">
        <f>?utf-8?B?2KjYr9ixINit2YXZiNiv?= &lt;bader198912@gmail.com&gt;</f>
        <v/>
      </c>
      <c r="B657" s="6" t="inlineStr">
        <is>
          <t>bader198912@gmail.com</t>
        </is>
      </c>
      <c r="C657" s="5">
        <f>?utf-8?B?2YTYutin2KE=?=</f>
        <v/>
      </c>
      <c r="D657" s="5" t="inlineStr">
        <is>
          <t>Hello! How can we help you?  Report بدر ج- : 96962229   ‫أُرسلت من الـ iPhone‬</t>
        </is>
      </c>
      <c r="E657" s="7" t="inlineStr">
        <is>
          <t>96962229</t>
        </is>
      </c>
    </row>
    <row r="658" ht="18" customHeight="1">
      <c r="A658" s="2" t="inlineStr">
        <is>
          <t>Mohamed Ghabina &lt;ghabina90@icloud.com&gt;</t>
        </is>
      </c>
      <c r="B658" s="3" t="inlineStr">
        <is>
          <t>ghabina90@icloud.com</t>
        </is>
      </c>
      <c r="C658" s="2">
        <f>?utf-8?Q?Report_=D8=A7=D9=86=D9=88=D8=B1_:_55206925?=</f>
        <v/>
      </c>
      <c r="D658" s="2" t="inlineStr">
        <is>
          <t>Hello! How can we help you?    Report انور : 55206925    Not same name  Sent from my iPhone</t>
        </is>
      </c>
      <c r="E658" s="4" t="inlineStr">
        <is>
          <t>55206925</t>
        </is>
      </c>
    </row>
    <row r="659" ht="18" customHeight="1">
      <c r="A659" s="5" t="inlineStr">
        <is>
          <t>Shahad Alosaimi &lt;eng.shahad93@icloud.com&gt;</t>
        </is>
      </c>
      <c r="B659" s="6" t="inlineStr">
        <is>
          <t>eng.shahad93@icloud.com</t>
        </is>
      </c>
      <c r="C659" s="5" t="inlineStr">
        <is>
          <t xml:space="preserve">Report </t>
        </is>
      </c>
      <c r="D659" s="5" t="inlineStr">
        <is>
          <t>Hello! How can we help you?  Report Shetaa : 51010303   Sent from my iPhone</t>
        </is>
      </c>
      <c r="E659" s="7" t="inlineStr">
        <is>
          <t>51010303</t>
        </is>
      </c>
    </row>
    <row r="660" ht="18" customHeight="1">
      <c r="A660" s="2" t="inlineStr">
        <is>
          <t>Ahmed Elhalawany &lt;ahmedelhalawany@icloud.com&gt;</t>
        </is>
      </c>
      <c r="B660" s="3" t="inlineStr">
        <is>
          <t>ahmedelhalawany@icloud.com</t>
        </is>
      </c>
      <c r="C660" s="2" t="inlineStr"/>
      <c r="D660" s="2" t="inlineStr">
        <is>
          <t>Hello! How can we help you?  Report جوز رانيا : 65150234   Sent from my iPhone</t>
        </is>
      </c>
      <c r="E660" s="4" t="inlineStr">
        <is>
          <t>65150234</t>
        </is>
      </c>
    </row>
    <row r="661" ht="18" customHeight="1">
      <c r="A661" s="5" t="inlineStr">
        <is>
          <t>Ahmed Elhalawany &lt;ahmedelhalawany@icloud.com&gt;</t>
        </is>
      </c>
      <c r="B661" s="6" t="inlineStr">
        <is>
          <t>ahmedelhalawany@icloud.com</t>
        </is>
      </c>
      <c r="C661" s="5" t="inlineStr"/>
      <c r="D661" s="5" t="inlineStr">
        <is>
          <t>Hello! How can we help you?  Report جوز رانيا : 65150234   Sent from my iPhone</t>
        </is>
      </c>
      <c r="E661" s="7" t="inlineStr">
        <is>
          <t>65150234</t>
        </is>
      </c>
    </row>
    <row r="662" ht="18" customHeight="1">
      <c r="A662" s="2" t="inlineStr">
        <is>
          <t>Ahmed Elhalawany &lt;ahmedelhalawany@icloud.com&gt;</t>
        </is>
      </c>
      <c r="B662" s="3" t="inlineStr">
        <is>
          <t>ahmedelhalawany@icloud.com</t>
        </is>
      </c>
      <c r="C662" s="2" t="inlineStr"/>
      <c r="D662" s="2" t="inlineStr">
        <is>
          <t>Hello! How can we help you?  Report مهبولة ق 1 ش 103 منزل 65 : 65150234   Sent from my iPhone</t>
        </is>
      </c>
      <c r="E662" s="4" t="inlineStr">
        <is>
          <t>65150234</t>
        </is>
      </c>
    </row>
    <row r="663" ht="18" customHeight="1">
      <c r="A663" s="5" t="inlineStr">
        <is>
          <t>Hassan Alshatti &lt;halshatti7@gmail.com&gt;</t>
        </is>
      </c>
      <c r="B663" s="6" t="inlineStr">
        <is>
          <t>halshatti7@gmail.com</t>
        </is>
      </c>
      <c r="C663" s="5">
        <f>?utf-8?B?2YXYrdin2YXZiiDYp9mI2LHZitiv2Yg=?=</f>
        <v/>
      </c>
      <c r="D663" s="5" t="inlineStr">
        <is>
          <t>Hello! How can we help you?  Report متطفلين حسب بلاغات من بلدك KW :   ‫أُرسلت من الـ iPhone‬</t>
        </is>
      </c>
      <c r="E663" s="7" t="inlineStr"/>
    </row>
    <row r="664" ht="18" customHeight="1">
      <c r="A664" s="2">
        <f>?utf-8?B?2KfZhNmA2YDZgNmA2YDYtdmA2YDZgNmA2YDZiNiqINin2YTZgNmA2YDZgNmA?=  =?utf-8?B?2KzZgNmA2YDZgNmA2LHZitmA2YDZgNmA2YDYrQ==?= &lt;abodi-84@hotmail.com&gt;</f>
        <v/>
      </c>
      <c r="B664" s="3" t="inlineStr">
        <is>
          <t>abodi-84@hotmail.com</t>
        </is>
      </c>
      <c r="C664" s="2">
        <f>?utf-8?B?2K3YsNmBINin2YTYsdmC2YUg2KjYtNmD2YQg2YbZh9in2KbZiiA=?=</f>
        <v/>
      </c>
      <c r="D664" s="2"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664" s="4" t="inlineStr">
        <is>
          <t>52521400</t>
        </is>
      </c>
    </row>
    <row r="665" ht="18" customHeight="1">
      <c r="A665" s="5" t="inlineStr">
        <is>
          <t>Muath Albeak &lt;muath53@gmail.com&gt;</t>
        </is>
      </c>
      <c r="B665" s="6" t="inlineStr">
        <is>
          <t>muath53@gmail.com</t>
        </is>
      </c>
      <c r="C665" s="5">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665" s="5" t="inlineStr">
        <is>
          <t xml:space="preserve">لو سمحت اخوي اكم مره دفعتلك انا وكل مره اقلك امسح الرقم ينسمسح ويرجع بعد فتره يرجى مسح الرقم ابدي ادا سمحت 67085099 </t>
        </is>
      </c>
      <c r="E665" s="7" t="inlineStr">
        <is>
          <t>67085099</t>
        </is>
      </c>
    </row>
    <row r="666" ht="18" customHeight="1">
      <c r="A666" s="2" t="inlineStr">
        <is>
          <t>Muath Albeak &lt;muath53@gmail.com&gt;</t>
        </is>
      </c>
      <c r="B666" s="3" t="inlineStr">
        <is>
          <t>muath53@gmail.com</t>
        </is>
      </c>
      <c r="C666" s="2">
        <f>?UTF-8?B?2YTZiCDYs9mF2K3YqiDYp9iu2YjZiiDYp9mD2YUg2YXYsdmHINiv2YHYudiq2YTZgyDYpw==?= 	=?UTF-8?B?2YbYpyDZiNmD2YQg2YXYsdmHINin2YLZhNmDINin2YXYs9itINin2YTYsdmC2YUg2YrZhtiz2YXYs9it?= 	=?UTF-8?B?INmI2YrYsdis2Lkg2KjYudivINmB2KrYsdmHINmK2LHYrNmJINmF2LPYrSDYp9mE2LHZgtmFINin2Kg=?= 	=?UTF-8?B?2K/ZiiDYp9iv2Kcg2LPZhdit2KogNjcwODUwOTk=?=</f>
        <v/>
      </c>
      <c r="D666" s="2" t="inlineStr">
        <is>
          <t xml:space="preserve">لو سمحت اخوي اكم مره دفعتلك انا وكل مره اقلك امسح الرقم ينسمسح ويرجع بعد فتره يرجى مسح الرقم ابدي ادا سمحت 67085099 </t>
        </is>
      </c>
      <c r="E666" s="4" t="inlineStr">
        <is>
          <t>67085099</t>
        </is>
      </c>
    </row>
    <row r="667" ht="18" customHeight="1">
      <c r="A667" s="5" t="inlineStr">
        <is>
          <t>khalid almutairi &lt;5ex@live.com&gt;</t>
        </is>
      </c>
      <c r="B667" s="6" t="inlineStr">
        <is>
          <t>5ex@live.com</t>
        </is>
      </c>
      <c r="C667" s="5">
        <f>?utf-8?B?2KfYsdis2KfYuSDYp9mE2K3YuNixINi52YTZiSDYp9mE2KfYs9mF2KfYoQ==?=</f>
        <v/>
      </c>
      <c r="D667"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667" s="7" t="inlineStr">
        <is>
          <t>65188868</t>
        </is>
      </c>
    </row>
    <row r="668" ht="18" customHeight="1">
      <c r="A668" s="2" t="inlineStr">
        <is>
          <t>khalid almutairi &lt;5ex@live.com&gt;</t>
        </is>
      </c>
      <c r="B668" s="3" t="inlineStr">
        <is>
          <t>5ex@live.com</t>
        </is>
      </c>
      <c r="C668" s="2">
        <f>?utf-8?B?2YXZh9mFINis2K/Yp9mLINiMICDYudiv2YUg2YbYtNixINmF2LnZhNmI2YU=?=  =?utf-8?B?2KfYqtmKINin2YTYtNiu2LXZitmHIA==?=</f>
        <v/>
      </c>
      <c r="D668" s="2" t="inlineStr">
        <is>
          <t xml:space="preserve">﻿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668" s="4" t="inlineStr">
        <is>
          <t>65188868</t>
        </is>
      </c>
    </row>
    <row r="669" ht="18" customHeight="1">
      <c r="A669" s="5" t="inlineStr">
        <is>
          <t>khalid almutairi &lt;5ex@live.com&gt;</t>
        </is>
      </c>
      <c r="B669" s="6" t="inlineStr">
        <is>
          <t>5ex@live.com</t>
        </is>
      </c>
      <c r="C669" s="5">
        <f>?utf-8?B?2KfZhNix2KzYp9ihINi52K/ZhSDYqtis2KfZh9mEINin2YTYp9mF2LEg?=</f>
        <v/>
      </c>
      <c r="D669" s="5" t="inlineStr">
        <is>
          <t xml:space="preserve">﻿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669" s="7" t="inlineStr">
        <is>
          <t>65188868</t>
        </is>
      </c>
    </row>
    <row r="670" ht="18" customHeight="1">
      <c r="A670" s="2" t="inlineStr">
        <is>
          <t>wld q8 &lt;dr.q8-@hotmail.com&gt;</t>
        </is>
      </c>
      <c r="B670" s="3" t="inlineStr">
        <is>
          <t>dr.q8-@hotmail.com</t>
        </is>
      </c>
      <c r="C670" s="2">
        <f>?utf-8?B?2KfZhNiz2YTYp9mFINi52YTZitmD2YUg2YrYsdis2KfYoSDZhdiz2K0g2Kg=?=  =?utf-8?B?2LnYtiDYp9mE2YXYs9mF2YrYp9iqINmI2LTZg9ix2KfZiw==?=</f>
        <v/>
      </c>
      <c r="D670" s="2" t="inlineStr">
        <is>
          <t xml:space="preserve">Hello! How can we help you?  Report نعاااال غثيثه : 55594923  ‏‫من الـ iPhone الخاص بي‬ </t>
        </is>
      </c>
      <c r="E670" s="4" t="inlineStr">
        <is>
          <t>55594923</t>
        </is>
      </c>
    </row>
    <row r="671" ht="18" customHeight="1">
      <c r="A671" s="5" t="inlineStr">
        <is>
          <t>wld q8 &lt;dr.q8-@hotmail.com&gt;</t>
        </is>
      </c>
      <c r="B671" s="6" t="inlineStr">
        <is>
          <t>dr.q8-@hotmail.com</t>
        </is>
      </c>
      <c r="C671" s="5">
        <f>?utf-8?B?2KfZhNiz2YTYp9mFINi52YTZitmD2YUg2YrYsdis2KfYoSDZhdiz2K0g2Kg=?=  =?utf-8?B?2LnYtiDYp9mE2YXYs9mF2YrYp9iqINmI2LTZg9ix2KfZiyA=?=</f>
        <v/>
      </c>
      <c r="D671" s="5" t="inlineStr">
        <is>
          <t xml:space="preserve">Hello! How can we help you?  Report متزوجه : 55594923  ‏‫من الـ iPhone الخاص بي‬ </t>
        </is>
      </c>
      <c r="E671" s="7" t="inlineStr">
        <is>
          <t>55594923</t>
        </is>
      </c>
    </row>
    <row r="672" ht="18" customHeight="1">
      <c r="A672" s="2" t="inlineStr">
        <is>
          <t>6LOoOoL AL-SHAMMRI &lt;Q8_6LOOL_Q8@hotmail.com&gt;</t>
        </is>
      </c>
      <c r="B672" s="3" t="inlineStr">
        <is>
          <t>Q8_6LOOL_Q8@hotmail.com</t>
        </is>
      </c>
      <c r="C672" s="2" t="inlineStr"/>
      <c r="D672" s="2" t="inlineStr">
        <is>
          <t xml:space="preserve">Hello! How can we help you?  Report بو فسيه : 96999447  ‫أُرسلت من الـ iPhone‬ </t>
        </is>
      </c>
      <c r="E672" s="4" t="inlineStr">
        <is>
          <t>96999447</t>
        </is>
      </c>
    </row>
    <row r="673" ht="18" customHeight="1">
      <c r="A673" s="5">
        <f>?UTF-8?B?2YUg2KfZhNmB2LrZhQ==?= &lt;maramalf36@gmail.com&gt;</f>
        <v/>
      </c>
      <c r="B673" s="6" t="inlineStr">
        <is>
          <t>maramalf36@gmail.com</t>
        </is>
      </c>
      <c r="C673" s="5">
        <f>?UTF-8?B?2K3YsNmBINix2YLZhdmKINmF2YYg2YXZhtmIINiv2KfZgiBSZXF1ZXN0IHRvIFJlbW92ZQ==?= 	=?UTF-8?B?IE15IFBob25lIE51bWJlciBmcm9tIE1lbm9kYWc=?=</f>
        <v/>
      </c>
      <c r="D673" s="5" t="inlineStr">
        <is>
          <t xml:space="preserve">السلام عليكم، أرجو حذف رقم هاتفي نهائيًا من قاعدة بيانات تطبيق منو داق.  رقمي: ‎965 60370113    Hello,  I kindly request the permanent removal of my phone number from the Menodag database.  My number: 965 60370113    Thank you. </t>
        </is>
      </c>
      <c r="E673" s="7" t="inlineStr">
        <is>
          <t>60370113</t>
        </is>
      </c>
    </row>
    <row r="674" ht="18" customHeight="1">
      <c r="A674" s="2" t="inlineStr">
        <is>
          <t>Hamad Alfailakawi &lt;h_elfailchawi@icloud.com&gt;</t>
        </is>
      </c>
      <c r="B674" s="3" t="inlineStr">
        <is>
          <t>h_elfailchawi@icloud.com</t>
        </is>
      </c>
      <c r="C674" s="2" t="inlineStr"/>
      <c r="D674" s="2" t="inlineStr">
        <is>
          <t>Hello! How can we help you?  Report عرض شيشة الواحه : 50373112   Sent from my iPhone</t>
        </is>
      </c>
      <c r="E674" s="4" t="inlineStr">
        <is>
          <t>50373112</t>
        </is>
      </c>
    </row>
    <row r="675" ht="18" customHeight="1">
      <c r="A675" s="5" t="inlineStr">
        <is>
          <t>Khazna Al-Shammery &lt;khazna@windowslive.com&gt;</t>
        </is>
      </c>
      <c r="B675" s="6" t="inlineStr">
        <is>
          <t>khazna@windowslive.com</t>
        </is>
      </c>
      <c r="C675" s="5">
        <f>?utf-8?B?2YXYp9mH2Yog2K3YsdmFINin2K3YryDYp9mE2KjZhtiqINmF2Ygg2YXYqtiy?=  =?utf-8?B?2YjYrNip?=</f>
        <v/>
      </c>
      <c r="D675" s="5" t="inlineStr">
        <is>
          <t xml:space="preserve">Hello! How can we help you?  Report حرم غافل- : 55521174  ‫أُرسلت من الـ iPhone‬ </t>
        </is>
      </c>
      <c r="E675" s="7" t="inlineStr">
        <is>
          <t>55521174</t>
        </is>
      </c>
    </row>
    <row r="676" ht="18" customHeight="1">
      <c r="A676" s="2" t="inlineStr">
        <is>
          <t>Rayan Alhamad &lt;rahalhamad2002@icloud.com&gt;</t>
        </is>
      </c>
      <c r="B676" s="3" t="inlineStr">
        <is>
          <t>rahalhamad2002@icloud.com</t>
        </is>
      </c>
      <c r="C676" s="2" t="inlineStr"/>
      <c r="D676" s="2" t="inlineStr">
        <is>
          <t>Hello! How can we help you?  Report : 99890862  Remove my number , 99890862  Sent from my iPhone</t>
        </is>
      </c>
      <c r="E676" s="4" t="inlineStr">
        <is>
          <t>99890862</t>
        </is>
      </c>
    </row>
    <row r="677" ht="18" customHeight="1">
      <c r="A677" s="5" t="inlineStr">
        <is>
          <t>Hussain Alrajhy &lt;hussain.alrajhy@gmail.com&gt;</t>
        </is>
      </c>
      <c r="B677" s="6" t="inlineStr">
        <is>
          <t>hussain.alrajhy@gmail.com</t>
        </is>
      </c>
      <c r="C677" s="5">
        <f>?UTF-8?B?2YfYp9mFINis2K/Yp9mLINis2K/Yp9mL?=</f>
        <v/>
      </c>
      <c r="D677" s="5" t="inlineStr">
        <is>
          <t xml:space="preserve">استناداً على حقي القانوني بعدم افصاح عن بينات رقمي .. علماً بان لدي كياني قانوني لايسمح لي بالافصاح عن اي معلومه .. وافصاحكم عن اسمي ورقمي يسبب لي الأذى والازعاج ، فـ اتمنى من فضلكم وحضراتكم عدم ظهور بيانات رقمي ببرنامجكم .. حيث انه الاسباب تبرهن علاقتي الوظيفيه بعدم الافصاح مع كامل الشكر والتقدير والعرفان  الرقم : 94972258 </t>
        </is>
      </c>
      <c r="E677" s="7" t="inlineStr">
        <is>
          <t>94972258</t>
        </is>
      </c>
    </row>
    <row r="678" ht="18" customHeight="1">
      <c r="A678" s="2" t="inlineStr">
        <is>
          <t>khalid almutairi &lt;5ex@live.com&gt;</t>
        </is>
      </c>
      <c r="B678" s="3" t="inlineStr">
        <is>
          <t>5ex@live.com</t>
        </is>
      </c>
      <c r="C678" s="2">
        <f>?utf-8?B?2KfZhNix2KzYp9ihINi52K/ZhSDYqtis2KfZh9mEINin2YTYp9mF2LEg?=</f>
        <v/>
      </c>
      <c r="D678" s="2" t="inlineStr">
        <is>
          <t xml:space="preserve">﻿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‫أُرسلت من الـ iPhone‬  ‫أُرسلت من الـ iPhone‬ </t>
        </is>
      </c>
      <c r="E678" s="4" t="inlineStr">
        <is>
          <t>65188868</t>
        </is>
      </c>
    </row>
    <row r="679" ht="18" customHeight="1">
      <c r="A679" s="5" t="inlineStr">
        <is>
          <t>"=?utf-8?B?2LnYqNiv2KfZhNmE2Ycg2LPYudmI2K8g2KfZhNi52KfYstmF2Yo=?=" &lt;alml3biii@gmail.com&gt;</t>
        </is>
      </c>
      <c r="B679" s="6" t="inlineStr">
        <is>
          <t>alml3biii@gmail.com</t>
        </is>
      </c>
      <c r="C679" s="5">
        <f>?utf-8?B?2LfZhNioINit2LDZgSDYp9iz2YUg2YTYsdmC2YXZig==?=</f>
        <v/>
      </c>
      <c r="D679" s="5" t="inlineStr">
        <is>
          <t xml:space="preserve">سادفع لكم مبلغ مالي لهذه الخدمه  الرجاء حذف الاسماء التي ليست لي ووضع اسمي فقط دون عمل بلوك للرقم   ترك هذه الاسماء فقط :  عبدالله سعود العازمي عبدالله سعود الحميس   الرقم :  55854474  </t>
        </is>
      </c>
      <c r="E679" s="7" t="inlineStr">
        <is>
          <t>55854474</t>
        </is>
      </c>
    </row>
    <row r="680" ht="18" customHeight="1">
      <c r="A680" s="2" t="inlineStr">
        <is>
          <t>khaled Eid &lt;jaberbo801@icloud.com&gt;</t>
        </is>
      </c>
      <c r="B680" s="3" t="inlineStr">
        <is>
          <t>jaberbo801@icloud.com</t>
        </is>
      </c>
      <c r="C680" s="2">
        <f>?utf-8?B?4oCP2KfZhNix2KzYp9ihINit2LjYsSDZh9iw2Kcg2KfZhNix2YI=?=  =?utf-8?B?2YUg2YjYsNmE2YMg2YTYo9iz2KjYp9ioINi52KfYptmE2YrYqTkw?=  =?utf-8?B?OTE3Nzc4?=</f>
        <v/>
      </c>
      <c r="D680" s="2" t="inlineStr">
        <is>
          <t xml:space="preserve">‏الرجاء حظر هذا الرقم وذلك لأسباب عائلية90917778  </t>
        </is>
      </c>
      <c r="E680" s="4" t="inlineStr"/>
    </row>
    <row r="681" ht="18" customHeight="1">
      <c r="A681" s="5" t="inlineStr">
        <is>
          <t>A Z &lt;washy94@gmail.com&gt;</t>
        </is>
      </c>
      <c r="B681" s="6" t="inlineStr">
        <is>
          <t>washy94@gmail.com</t>
        </is>
      </c>
      <c r="C681" s="5" t="inlineStr"/>
      <c r="D681" s="5" t="inlineStr">
        <is>
          <t>Hello! How can we help you?  Report عايشة المطيري جمعية الشريعه- : 55129985   ‫أُرسلت من الـ iPhone‬</t>
        </is>
      </c>
      <c r="E681" s="7" t="inlineStr">
        <is>
          <t>55129985</t>
        </is>
      </c>
    </row>
    <row r="682" ht="18" customHeight="1">
      <c r="A682" s="2" t="inlineStr">
        <is>
          <t>A Z &lt;washy94@gmail.com&gt;</t>
        </is>
      </c>
      <c r="B682" s="3" t="inlineStr">
        <is>
          <t>washy94@gmail.com</t>
        </is>
      </c>
      <c r="C682" s="2" t="inlineStr"/>
      <c r="D682" s="2" t="inlineStr">
        <is>
          <t>Hello! How can we help you?  Report عايشه زيد قروب الشريعه- : 55129985   ‫أُرسلت من الـ iPhone‬</t>
        </is>
      </c>
      <c r="E682" s="4" t="inlineStr">
        <is>
          <t>55129985</t>
        </is>
      </c>
    </row>
    <row r="683" ht="18" customHeight="1">
      <c r="A683" s="5" t="inlineStr">
        <is>
          <t>A Z &lt;washy94@gmail.com&gt;</t>
        </is>
      </c>
      <c r="B683" s="6" t="inlineStr">
        <is>
          <t>washy94@gmail.com</t>
        </is>
      </c>
      <c r="C683" s="5" t="inlineStr"/>
      <c r="D683" s="5" t="inlineStr">
        <is>
          <t>Hello! How can we help you?  Report رحلة الخميس كلية الشريعة 3 باصات- : 55129985   ‫أُرسلت من الـ iPhone‬</t>
        </is>
      </c>
      <c r="E683" s="7" t="inlineStr">
        <is>
          <t>55129985</t>
        </is>
      </c>
    </row>
    <row r="684" ht="18" customHeight="1">
      <c r="A684" s="2" t="inlineStr">
        <is>
          <t>A Z &lt;washy94@gmail.com&gt;</t>
        </is>
      </c>
      <c r="B684" s="3" t="inlineStr">
        <is>
          <t>washy94@gmail.com</t>
        </is>
      </c>
      <c r="C684" s="2" t="inlineStr"/>
      <c r="D684" s="2" t="inlineStr">
        <is>
          <t>Hello! How can we help you?  Report بنت الجمعية- : 55129985   ‫أُرسلت من الـ iPhone‬</t>
        </is>
      </c>
      <c r="E684" s="4" t="inlineStr">
        <is>
          <t>55129985</t>
        </is>
      </c>
    </row>
    <row r="685" ht="18" customHeight="1">
      <c r="A685" s="5" t="inlineStr">
        <is>
          <t>Jumana Dashti &lt;jumanadashti88@icloud.com&gt;</t>
        </is>
      </c>
      <c r="B685" s="6" t="inlineStr">
        <is>
          <t>jumanadashti88@icloud.com</t>
        </is>
      </c>
      <c r="C685" s="5" t="inlineStr"/>
      <c r="D685" s="5" t="inlineStr">
        <is>
          <t>Hello! How can we help you?  Report جمانه الزباله : 96960789   ‫أُرسلت من الـ iPhone‬</t>
        </is>
      </c>
      <c r="E685" s="7" t="inlineStr">
        <is>
          <t>96960789</t>
        </is>
      </c>
    </row>
    <row r="686" ht="18" customHeight="1">
      <c r="A686" s="2" t="inlineStr">
        <is>
          <t>Mohammed Alajayan &lt;mo-l@hotmail.com&gt;</t>
        </is>
      </c>
      <c r="B686" s="3" t="inlineStr">
        <is>
          <t>mo-l@hotmail.com</t>
        </is>
      </c>
      <c r="C686" s="2">
        <f>?utf-8?B?2YXYs9itINin2YTYp9iz2YXYp9ih?=</f>
        <v/>
      </c>
      <c r="D686" s="2" t="inlineStr">
        <is>
          <t xml:space="preserve">﻿ يرجى مسح الأسماء عن الرقم  56598888 </t>
        </is>
      </c>
      <c r="E686" s="4" t="inlineStr">
        <is>
          <t>56598888</t>
        </is>
      </c>
    </row>
    <row r="687" ht="18" customHeight="1">
      <c r="A687" s="5" t="inlineStr">
        <is>
          <t>Naser Alenezi &lt;dr.naser.alenezi@hotmail.com&gt;</t>
        </is>
      </c>
      <c r="B687" s="6" t="inlineStr">
        <is>
          <t>dr.naser.alenezi@hotmail.com</t>
        </is>
      </c>
      <c r="C687" s="5">
        <f>?utf-8?B?2KfZhNin2LPZhSDZhNmK2LMg2YTZig==?=</f>
        <v/>
      </c>
      <c r="D687" s="5" t="inlineStr">
        <is>
          <t xml:space="preserve">Hello! How can we help you?  Report Naser Es 350 2014- : 99366990  هذا الاسم ليس لي ارجوا ازلته ، او سوف اتقدم بشكوى ضدكم في هيئة الاتصالات Sent from my iPhone </t>
        </is>
      </c>
      <c r="E687" s="7" t="inlineStr">
        <is>
          <t>99366990</t>
        </is>
      </c>
    </row>
    <row r="688" ht="18" customHeight="1">
      <c r="A688" s="2" t="inlineStr">
        <is>
          <t>Naser Alenezi &lt;dr.naser.alenezi@hotmail.com&gt;</t>
        </is>
      </c>
      <c r="B688" s="3" t="inlineStr">
        <is>
          <t>dr.naser.alenezi@hotmail.com</t>
        </is>
      </c>
      <c r="C688" s="2">
        <f>?utf-8?B?2YfYsNinINin2YTYp9iz2YUg2YTZiti0INmE2Yog?=</f>
        <v/>
      </c>
      <c r="D688" s="2" t="inlineStr">
        <is>
          <t xml:space="preserve">Hello! How can we help you?  Report Ner Al Enizi : 99366990  هذا الاسم ليس ارجوا ازالته والا سوف اتقدم بشكوى ضدكم في هيئة الاتصالات Sent from my iPhone </t>
        </is>
      </c>
      <c r="E688" s="4" t="inlineStr">
        <is>
          <t>99366990</t>
        </is>
      </c>
    </row>
    <row r="689" ht="18" customHeight="1">
      <c r="A689" s="5" t="inlineStr">
        <is>
          <t>Reem Alhashash &lt;a.reem.n2@gmail.com&gt;</t>
        </is>
      </c>
      <c r="B689" s="6" t="inlineStr">
        <is>
          <t>a.reem.n2@gmail.com</t>
        </is>
      </c>
      <c r="C689" s="5">
        <f>?utf-8?B?2K3YsNmB?=</f>
        <v/>
      </c>
      <c r="D689" s="5" t="inlineStr">
        <is>
          <t xml:space="preserve">Report محمد فرحان الرومي- : 66690460   يرجى الحذف للخصوصية </t>
        </is>
      </c>
      <c r="E689" s="7" t="inlineStr">
        <is>
          <t>66690460</t>
        </is>
      </c>
    </row>
    <row r="690" ht="18" customHeight="1">
      <c r="A690" s="2" t="inlineStr">
        <is>
          <t>Muath Albeak &lt;muath53@gmail.com&gt;</t>
        </is>
      </c>
      <c r="B690" s="3" t="inlineStr">
        <is>
          <t>muath53@gmail.com</t>
        </is>
      </c>
      <c r="C690" s="2">
        <f>?UTF-8?B?UmU6INiq2YUg2YXYs9itINin2YTYp9iz2YUv2KfZhNix2YLZhSDYp9mE2YXYt9mE2YjYqA==?=</f>
        <v/>
      </c>
      <c r="D690" s="2" t="inlineStr">
        <is>
          <t xml:space="preserve">لو سمحت اخوي اكم مره دفعتلك انا وكل مره اقلك امسح الرقم ينسمسح ويرجع بعد فتره يرجى مسح الرقم ابدي ادا سمحت 67085099    On Fri, 11 Apr 2025 at 8:50 AM Menodag Sales &lt;sales@menodag.com&gt; wrote:  &gt; </t>
        </is>
      </c>
      <c r="E690" s="4" t="inlineStr">
        <is>
          <t>67085099</t>
        </is>
      </c>
    </row>
    <row r="691" ht="18" customHeight="1">
      <c r="A691" s="5" t="inlineStr">
        <is>
          <t>Muath Albeak &lt;muath53@gmail.com&gt;</t>
        </is>
      </c>
      <c r="B691" s="6" t="inlineStr">
        <is>
          <t>muath53@gmail.com</t>
        </is>
      </c>
      <c r="C691" s="5">
        <f>?UTF-8?B?UmU6INiq2YUg2YXYs9itINin2YTYp9iz2YUv2KfZhNix2YLZhSDYp9mE2YXYt9mE2YjYqA==?=</f>
        <v/>
      </c>
      <c r="D691" s="5" t="inlineStr">
        <is>
          <t xml:space="preserve">لو سمحت اخوي اكم مره دفعتلك انا وكل مره اقلك امسح الرقم ينسمسح ويرجع بعد فتره يرجى مسح الرقم ابدي ادا سمحت 67085099    On Wed, 22 Oct 2025 at 8:06 PM Muath Albeak &lt;muath53@gmail.com&gt; wrote:  &gt; لو سمحت اخوي اكم مره دفعتلك انا وكل مره اقلك امسح الرقم ينسمسح ويرجع بعد &gt; فتره &gt; يرجى مسح الرقم ابدي ادا سمحت &gt; 67085099 &gt; &gt; On Fri, 11 Apr 2025 at 8:50 AM Menodag Sales &lt;sales@menodag.com&gt; wrote: &gt; &gt;&gt; </t>
        </is>
      </c>
      <c r="E691" s="7" t="inlineStr">
        <is>
          <t>67085099</t>
        </is>
      </c>
    </row>
    <row r="692" ht="18" customHeight="1">
      <c r="A692" s="2" t="inlineStr">
        <is>
          <t>"M. Bastaki" &lt;acc.bastaki@hotmail.com&gt;</t>
        </is>
      </c>
      <c r="B692" s="3" t="inlineStr">
        <is>
          <t>acc.bastaki@hotmail.com</t>
        </is>
      </c>
      <c r="C692" s="2">
        <f>?iso-8859-6?B?UmVwb3J0IC8gysjk6to=?=</f>
        <v/>
      </c>
      <c r="D692" s="2" t="inlineStr">
        <is>
          <t xml:space="preserve">Report Porsche Ga7ba : 97374756 Report Ga7ba Porsche : 97374756 Report Mariam Elga7ba : 97374756   Get Outlook for iOS&lt;https://aka.ms/o0ukef&gt; </t>
        </is>
      </c>
      <c r="E692" s="4" t="inlineStr">
        <is>
          <t>97374756</t>
        </is>
      </c>
    </row>
    <row r="693" ht="18" customHeight="1">
      <c r="A693" s="5" t="inlineStr">
        <is>
          <t>Muath Albeak &lt;muath53@gmail.com&gt;</t>
        </is>
      </c>
      <c r="B693" s="6" t="inlineStr">
        <is>
          <t>muath53@gmail.com</t>
        </is>
      </c>
      <c r="C693" s="5">
        <f>?UTF-8?B?UmU6INiq2YUg2YXYs9itINin2YTYp9iz2YUv2KfZhNix2YLZhSDYp9mE2YXYt9mE2YjYqA==?=</f>
        <v/>
      </c>
      <c r="D693" s="5" t="inlineStr">
        <is>
          <t xml:space="preserve">لو سمحت اخوي اكم مره دفعتلك انا وكل مره اقلك امسح الرقم ينسمسح ويرجع بعد فتره يرجى مسح الرقم ابدي ادا سمحت 67085099  On Fri, 11 Apr 2025 at 8:50 AM Menodag Sales &lt;sales@menodag.com&gt; wrote:  &gt; </t>
        </is>
      </c>
      <c r="E693" s="7" t="inlineStr">
        <is>
          <t>67085099</t>
        </is>
      </c>
    </row>
    <row r="694" ht="18" customHeight="1">
      <c r="A694" s="2" t="inlineStr">
        <is>
          <t>M A &lt;m7md855@icloud.com&gt;</t>
        </is>
      </c>
      <c r="B694" s="3" t="inlineStr">
        <is>
          <t>m7md855@icloud.com</t>
        </is>
      </c>
      <c r="C694" s="2">
        <f>?utf-8?B?2KfYsdis2Ygg2KrZg9ix2YXYpyDYrdiw2YEg2KfZhNix2YLZhSA=?=  =?utf-8?B?2YjYp9mE2KfYs9mFIA==?=</f>
        <v/>
      </c>
      <c r="D694" s="2" t="inlineStr">
        <is>
          <t xml:space="preserve">Hello! How can we help you?    ارجو تكرما حذف الرقم والاسم     Report : 55558483  </t>
        </is>
      </c>
      <c r="E694" s="4" t="inlineStr">
        <is>
          <t>55558483</t>
        </is>
      </c>
    </row>
    <row r="695" ht="18" customHeight="1">
      <c r="A695" s="5">
        <f>?utf-8?B?2KfZhNmA2YDZgNmA2YDYtdmA2YDZgNmA2YDZiNiqINin2YTZgNmA2YDZgNmA?=  =?utf-8?B?2KzZgNmA2YDZgNmA2LHZitmA2YDZgNmA2YDYrQ==?= &lt;abodi-84@hotmail.com&gt;</f>
        <v/>
      </c>
      <c r="B695" s="6" t="inlineStr">
        <is>
          <t>abodi-84@hotmail.com</t>
        </is>
      </c>
      <c r="C695" s="5">
        <f>?utf-8?B?2K3YsNmBINin2YTYsdmC2YUg2KjYtNmD2YQg2YbZh9in2KbZiiA=?=</f>
        <v/>
      </c>
      <c r="D695" s="5" t="inlineStr">
        <is>
          <t xml:space="preserve">Hello! How can we help you?   السلام عليكم ورحمة اللّٰه وبركاتة         ارجو من السادة القائمين على هذا التطبيق ( منو داق ) إلغاء الرقم الخاص فيني من سيرفر التطبيق نهائياً إن أمكن وأرجو التعاون لعدم مصداقية بعض الألقاب والأسماء المسجله إحتراماً للخصوصية ورغبتي وإحتراماً لقرار هيئة الإتصالات الكويتية.  ( الرقم 52521400 )  ولكم مني جزيل الشكر   Sent from my iPhone </t>
        </is>
      </c>
      <c r="E695" s="7" t="inlineStr">
        <is>
          <t>52521400</t>
        </is>
      </c>
    </row>
    <row r="696" ht="18" customHeight="1">
      <c r="A696" s="2" t="inlineStr">
        <is>
          <t>Coco Moha &lt;extra_870@icloud.com&gt;</t>
        </is>
      </c>
      <c r="B696" s="3" t="inlineStr">
        <is>
          <t>extra_870@icloud.com</t>
        </is>
      </c>
      <c r="C696" s="2">
        <f>?utf-8?B?2KfYs9ij2KHZhyDZiNiq2LTZiNmK2Ycg2LPZhdi52Yc=?=</f>
        <v/>
      </c>
      <c r="D696" s="2" t="inlineStr">
        <is>
          <t>Hello! How can we help you?  Report مطيري وسخ ⛔️ : 94418142   ‫أُرسلت من الـ iPhone‬</t>
        </is>
      </c>
      <c r="E696" s="4" t="inlineStr">
        <is>
          <t>94418142</t>
        </is>
      </c>
    </row>
    <row r="697" ht="18" customHeight="1">
      <c r="A697" s="5">
        <f>?utf-8?B?2LnZhNmKINin2YTYsdi02YrYr9mK?= &lt;qeeybf32@icloud.com&gt;</f>
        <v/>
      </c>
      <c r="B697" s="6" t="inlineStr">
        <is>
          <t>qeeybf32@icloud.com</t>
        </is>
      </c>
      <c r="C697" s="5" t="inlineStr"/>
      <c r="D697" s="5" t="inlineStr">
        <is>
          <t xml:space="preserve">Hello! How can we help you?  Report ابو بشاير الرحاب : 60005058 ا  ارجو من شركة منو داق مسح الاسم اساءه لي ارجو منكم مسح الاسم وشكراً   </t>
        </is>
      </c>
      <c r="E697" s="7" t="inlineStr">
        <is>
          <t>60005058</t>
        </is>
      </c>
    </row>
    <row r="698" ht="18" customHeight="1">
      <c r="A698" s="2" t="inlineStr">
        <is>
          <t>asaalsubaie@icloud.com</t>
        </is>
      </c>
      <c r="B698" s="3" t="inlineStr">
        <is>
          <t>asaalsubaie@icloud.com</t>
        </is>
      </c>
      <c r="C698" s="2">
        <f>?utf-8?B?2YXYs9itINin2YTYsdmC2YU=?=</f>
        <v/>
      </c>
      <c r="D698" s="2" t="inlineStr">
        <is>
          <t>Hello! How can we help you?  Report Odaib- : 90089332   Sent from my iPhone</t>
        </is>
      </c>
      <c r="E698" s="4" t="inlineStr">
        <is>
          <t>90089332</t>
        </is>
      </c>
    </row>
    <row r="699" ht="18" customHeight="1">
      <c r="A699" s="5" t="inlineStr">
        <is>
          <t>asaalsubaie@icloud.com</t>
        </is>
      </c>
      <c r="B699" s="6" t="inlineStr">
        <is>
          <t>asaalsubaie@icloud.com</t>
        </is>
      </c>
      <c r="C699" s="5">
        <f>?utf-8?B?2YXYs9itINin2YTYsdmC2YU=?=</f>
        <v/>
      </c>
      <c r="D699" s="5" t="inlineStr">
        <is>
          <t>Hello! How can we help you?  Report A • = ( : 90089332   Sent from my iPhone</t>
        </is>
      </c>
      <c r="E699" s="7" t="inlineStr">
        <is>
          <t>90089332</t>
        </is>
      </c>
    </row>
    <row r="700" ht="18" customHeight="1">
      <c r="A700" s="2" t="inlineStr">
        <is>
          <t>Sara Alotaibi &lt;Alotaibi_sara@outlook.com&gt;</t>
        </is>
      </c>
      <c r="B700" s="3" t="inlineStr">
        <is>
          <t>Alotaibi_sara@outlook.com</t>
        </is>
      </c>
      <c r="C700" s="2" t="inlineStr">
        <is>
          <t>Re: I want to delete it please</t>
        </is>
      </c>
      <c r="D700" s="2" t="inlineStr">
        <is>
          <t>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On 11 Apr 2025, at 8:45 AM, Menodag Sales &lt;sales@menodag.com&gt; wrote:  ﻿ Sorry check now  On Fri, Mar 21, 2025 at 4:07 AM Sara Alotaibi &lt;Alotaibi_sara@outlook.com&lt;mailto:Alotaibi_sara@outlook.com&gt;&gt; wrote: السلام عليكم قبل تواصلت معاكم بخصوص البلوك وقلتولي فعلي الخدمه وبنفعلها لج مدى الحياة وقبل فتره دازين لي مسج ان انتهى اشتراكي وكلمتكم وشلتوه والحين رديتوه ! مع العلم ان اكثر من مره يصير جذي وانتو قايلين مدى الحياة ممكن تشوفون الموضوع !؟ 66998202 &lt;i ...</t>
        </is>
      </c>
      <c r="E700" s="4" t="inlineStr">
        <is>
          <t>66998202</t>
        </is>
      </c>
    </row>
    <row r="701" ht="18" customHeight="1">
      <c r="A701" s="5" t="inlineStr">
        <is>
          <t>asaalsubaie@icloud.com</t>
        </is>
      </c>
      <c r="B701" s="6" t="inlineStr">
        <is>
          <t>asaalsubaie@icloud.com</t>
        </is>
      </c>
      <c r="C701" s="5">
        <f>?utf-8?B?2YXYs9itINin2YTYsdmC2YU=?=</f>
        <v/>
      </c>
      <c r="D701" s="5" t="inlineStr">
        <is>
          <t>Hello! How can we help you?  Report Mmmmmmnnnnnoooo : 90089332   Sent from my iPhone</t>
        </is>
      </c>
      <c r="E701" s="7" t="inlineStr">
        <is>
          <t>90089332</t>
        </is>
      </c>
    </row>
    <row r="702" ht="18" customHeight="1">
      <c r="A702" s="2">
        <f>?utf-8?B?2LnYqNiv2KfZhNmE2Ycg2KfZhNi62KfZgdmE?= &lt;abdalanahar2@gmail.com&gt;</f>
        <v/>
      </c>
      <c r="B702" s="3" t="inlineStr">
        <is>
          <t>abdalanahar2@gmail.com</t>
        </is>
      </c>
      <c r="C702" s="2">
        <f>?utf-8?B?2KfYs9mFIA==?=</f>
        <v/>
      </c>
      <c r="D702" s="2" t="inlineStr">
        <is>
          <t>الرجاء حذف الاسم لان فيه اساءه    Hello! How can we help you?  Report نواف المطي : 55159879   ‫أُرسلت من الـ iPhone‬</t>
        </is>
      </c>
      <c r="E702" s="4" t="inlineStr">
        <is>
          <t>55159879</t>
        </is>
      </c>
    </row>
    <row r="703" ht="18" customHeight="1">
      <c r="A703" s="5" t="inlineStr">
        <is>
          <t>"=?utf-8?B?2LnYqNiv2KfZhNmE2Ycg2LPYudmI2K8g2KfZhNi52KfYstmF2Yo=?=" &lt;alml3biii@gmail.com&gt;</t>
        </is>
      </c>
      <c r="B703" s="6" t="inlineStr">
        <is>
          <t>alml3biii@gmail.com</t>
        </is>
      </c>
      <c r="C703" s="5">
        <f>?utf-8?B?2LfZhNioINit2LDZgSDYp9iz2YUg?=</f>
        <v/>
      </c>
      <c r="D703" s="5" t="inlineStr">
        <is>
          <t>الرجاء حذف جميع الاسماء التي لا تشملني وترك الاسماء التي تعنيني ولو كانت الخدمه بمبلغ مالي سادفع   الاسماء التي اريد ان تضعها فقط هي  عبدالله سعود الحميس عبدالله سعود العازمي   الرقم 55854474  ‬</t>
        </is>
      </c>
      <c r="E703" s="7" t="inlineStr">
        <is>
          <t>55854474</t>
        </is>
      </c>
    </row>
    <row r="704" ht="18" customHeight="1">
      <c r="A704" s="2" t="inlineStr">
        <is>
          <t>"=?utf-8?B?2LnYqNiv2KfZhNmE2Ycg2LPYudmI2K8g2KfZhNi52KfYstmF2Yo=?=" &lt;alml3biii@gmail.com&gt;</t>
        </is>
      </c>
      <c r="B704" s="3" t="inlineStr">
        <is>
          <t>alml3biii@gmail.com</t>
        </is>
      </c>
      <c r="C704" s="2">
        <f>?utf-8?B?2KfZhNix2KzYp9ihINit2LDZgSDYp9mE2KfYs9mFIA==?=</f>
        <v/>
      </c>
      <c r="D704" s="2" t="inlineStr">
        <is>
          <t>Hello! How can we help you?  Report حصه مجبل وافراح. عبدالله سعود : 55854474   ‫أُرسلت من الـ iPhone‬</t>
        </is>
      </c>
      <c r="E704" s="4" t="inlineStr">
        <is>
          <t>55854474</t>
        </is>
      </c>
    </row>
    <row r="705" ht="18" customHeight="1">
      <c r="A705" s="5" t="inlineStr">
        <is>
          <t>"=?utf-8?B?2LnYqNiv2KfZhNmE2Ycg2LPYudmI2K8g2KfZhNi52KfYstmF2Yo=?=" &lt;alml3biii@gmail.com&gt;</t>
        </is>
      </c>
      <c r="B705" s="6" t="inlineStr">
        <is>
          <t>alml3biii@gmail.com</t>
        </is>
      </c>
      <c r="C705" s="5">
        <f>?utf-8?B?2KfZhNix2KzYp9ihINit2LDZgSDYp9mE2KfYs9mF?=</f>
        <v/>
      </c>
      <c r="D705" s="5" t="inlineStr">
        <is>
          <t>Hello! How can we help you?  Report عبدالله نزال بن ناجم : 55854474   ‫أُرسلت من الـ iPhone‬</t>
        </is>
      </c>
      <c r="E705" s="7" t="inlineStr">
        <is>
          <t>55854474</t>
        </is>
      </c>
    </row>
    <row r="706" ht="18" customHeight="1">
      <c r="A706" s="2" t="inlineStr">
        <is>
          <t>"=?utf-8?B?2LnYqNiv2KfZhNmE2Ycg2LPYudmI2K8g2KfZhNi52KfYstmF2Yo=?=" &lt;alml3biii@gmail.com&gt;</t>
        </is>
      </c>
      <c r="B706" s="3" t="inlineStr">
        <is>
          <t>alml3biii@gmail.com</t>
        </is>
      </c>
      <c r="C706" s="2">
        <f>?utf-8?B?2KfZhNix2KzYp9ihINit2LDZgSDZh9iw2Kcg2KfZhNin2LPZhQ==?=</f>
        <v/>
      </c>
      <c r="D706" s="2" t="inlineStr">
        <is>
          <t>Hello! How can we help you?  Report بشاير الهيم - : 55854474  اي اسم غير عبدالله سعود يرجى حذفه  ‫أُرسلت من الـ iPhone‬</t>
        </is>
      </c>
      <c r="E706" s="4" t="inlineStr">
        <is>
          <t>55854474</t>
        </is>
      </c>
    </row>
    <row r="707" ht="18" customHeight="1">
      <c r="A707" s="5" t="inlineStr">
        <is>
          <t>"=?utf-8?B?2LnYqNiv2KfZhNmE2Ycg2LPYudmI2K8g2KfZhNi52KfYstmF2Yo=?=" &lt;alml3biii@gmail.com&gt;</t>
        </is>
      </c>
      <c r="B707" s="6" t="inlineStr">
        <is>
          <t>alml3biii@gmail.com</t>
        </is>
      </c>
      <c r="C707" s="5">
        <f>?utf-8?B?2KfZhNix2KzYp9ihINit2LDZgSDZh9iw2Kcg2KfZhNin2LPZhSA=?=</f>
        <v/>
      </c>
      <c r="D707" s="5" t="inlineStr">
        <is>
          <t>Hello! How can we help you?  Report Maryoumiii : 55854474  وحذف الاسماء الاخرى    ‫أُرسلت من الـ iPhone‬</t>
        </is>
      </c>
      <c r="E707" s="7" t="inlineStr">
        <is>
          <t>55854474</t>
        </is>
      </c>
    </row>
    <row r="708" ht="18" customHeight="1">
      <c r="A708" s="2" t="inlineStr">
        <is>
          <t>fajer hamad &lt;faldughailbi@outlook.com&gt;</t>
        </is>
      </c>
      <c r="B708" s="3" t="inlineStr">
        <is>
          <t>faldughailbi@outlook.com</t>
        </is>
      </c>
      <c r="C708" s="2">
        <f>?iso-8859-6?B?1+TIIM3Q4SDR4uU=?=</f>
        <v/>
      </c>
      <c r="D708" s="2" t="inlineStr">
        <is>
          <t xml:space="preserve"> Sent from my iPhone </t>
        </is>
      </c>
      <c r="E708" s="4" t="inlineStr"/>
    </row>
    <row r="709" ht="18" customHeight="1">
      <c r="A709" s="5" t="inlineStr">
        <is>
          <t>fajer hamad &lt;faldughailbi@outlook.com&gt;</t>
        </is>
      </c>
      <c r="B709" s="6" t="inlineStr">
        <is>
          <t>faldughailbi@outlook.com</t>
        </is>
      </c>
      <c r="C709" s="5" t="inlineStr">
        <is>
          <t>Remove</t>
        </is>
      </c>
      <c r="D709" s="5" t="inlineStr">
        <is>
          <t xml:space="preserve">Hello! How can we help you?  Report وجار المزرعه : 67009958  Sent from my iPhone </t>
        </is>
      </c>
      <c r="E709" s="7" t="inlineStr">
        <is>
          <t>67009958</t>
        </is>
      </c>
    </row>
    <row r="710" ht="18" customHeight="1">
      <c r="A710" s="2" t="inlineStr">
        <is>
          <t>fajer hamad &lt;faldughailbi@outlook.com&gt;</t>
        </is>
      </c>
      <c r="B710" s="3" t="inlineStr">
        <is>
          <t>faldughailbi@outlook.com</t>
        </is>
      </c>
      <c r="C710" s="2" t="inlineStr">
        <is>
          <t>Remove</t>
        </is>
      </c>
      <c r="D710" s="2" t="inlineStr">
        <is>
          <t xml:space="preserve">Hello! How can we help you?  Report فجر متطوعه ايكو عمليات : 67009958  Sent from my iPhone </t>
        </is>
      </c>
      <c r="E710" s="4" t="inlineStr">
        <is>
          <t>67009958</t>
        </is>
      </c>
    </row>
    <row r="711" ht="18" customHeight="1">
      <c r="A711" s="5" t="inlineStr">
        <is>
          <t>fajer hamad &lt;faldughailbi@outlook.com&gt;</t>
        </is>
      </c>
      <c r="B711" s="6" t="inlineStr">
        <is>
          <t>faldughailbi@outlook.com</t>
        </is>
      </c>
      <c r="C711" s="5" t="inlineStr">
        <is>
          <t>Remove</t>
        </is>
      </c>
      <c r="D711" s="5" t="inlineStr">
        <is>
          <t xml:space="preserve">Hello! How can we help you?  Report فجر احمد كبسوله 12408 : 67009958  Sent from my iPhone </t>
        </is>
      </c>
      <c r="E711" s="7" t="inlineStr">
        <is>
          <t>67009958</t>
        </is>
      </c>
    </row>
    <row r="712" ht="18" customHeight="1">
      <c r="A712" s="2" t="inlineStr">
        <is>
          <t>fajer hamad &lt;faldughailbi@outlook.com&gt;</t>
        </is>
      </c>
      <c r="B712" s="3" t="inlineStr">
        <is>
          <t>faldughailbi@outlook.com</t>
        </is>
      </c>
      <c r="C712" s="2" t="inlineStr">
        <is>
          <t>Remove</t>
        </is>
      </c>
      <c r="D712" s="2" t="inlineStr">
        <is>
          <t xml:space="preserve">Hello! How can we help you?  Report ابوفجر عنده معادله بالكلية ويدور وظيفه : 67009958  Sent from my iPhone </t>
        </is>
      </c>
      <c r="E712" s="4" t="inlineStr">
        <is>
          <t>67009958</t>
        </is>
      </c>
    </row>
    <row r="713" ht="18" customHeight="1">
      <c r="A713" s="5" t="inlineStr">
        <is>
          <t>Salah Alotaibi &lt;dmrdn@hotmail.com&gt;</t>
        </is>
      </c>
      <c r="B713" s="6" t="inlineStr">
        <is>
          <t>dmrdn@hotmail.com</t>
        </is>
      </c>
      <c r="C713" s="5">
        <f>?utf-8?B?2KfYs9mFINmF2LPZitmJ2KE=?=</f>
        <v/>
      </c>
      <c r="D713" s="5" t="inlineStr">
        <is>
          <t xml:space="preserve">Hello! How can we help you?  الرجاء مسح الاسم مسيء لرقمي  Report ديوووث- : 55577557  Sent from my iPhone </t>
        </is>
      </c>
      <c r="E713" s="7" t="inlineStr">
        <is>
          <t>55577557</t>
        </is>
      </c>
    </row>
    <row r="714" ht="18" customHeight="1">
      <c r="A714" s="2" t="inlineStr">
        <is>
          <t>m6iyr &lt;alm6iry@hotmail.com&gt;</t>
        </is>
      </c>
      <c r="B714" s="3" t="inlineStr">
        <is>
          <t>alm6iry@hotmail.com</t>
        </is>
      </c>
      <c r="C714" s="2">
        <f>?utf-8?B?2KfZhNmKINin2YTYp9iuINmF2LPYp9i52K8g2KfZhNi52KfYstmF2Yo=?=</f>
        <v/>
      </c>
      <c r="D714" s="2" t="inlineStr">
        <is>
          <t xml:space="preserve">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t>
        </is>
      </c>
      <c r="E714" s="4" t="inlineStr">
        <is>
          <t>65188868</t>
        </is>
      </c>
    </row>
    <row r="715" ht="18" customHeight="1">
      <c r="A715" s="5" t="inlineStr">
        <is>
          <t>khalid almutairi &lt;5ex@live.com&gt;</t>
        </is>
      </c>
      <c r="B715" s="6" t="inlineStr">
        <is>
          <t>5ex@live.com</t>
        </is>
      </c>
      <c r="C715" s="5">
        <f>?utf-8?B?2KfZhNin2YXYsSDYsNin2Kog2KfZh9mF2YrZhw==?=</f>
        <v/>
      </c>
      <c r="D715" s="5" t="inlineStr">
        <is>
          <t xml:space="preserve">Hello! How can we help you?  Report Khalid-Janam : 65188868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‫أُرسلت من الـ iPhone‬ </t>
        </is>
      </c>
      <c r="E715" s="7" t="inlineStr">
        <is>
          <t>65188868</t>
        </is>
      </c>
    </row>
    <row r="716" ht="18" customHeight="1">
      <c r="A716" s="2" t="inlineStr">
        <is>
          <t>K K &lt;k.alm6iry@hotmail.com&gt;</t>
        </is>
      </c>
      <c r="B716" s="3" t="inlineStr">
        <is>
          <t>k.alm6iry@hotmail.com</t>
        </is>
      </c>
      <c r="C716" s="2">
        <f>?utf-8?B?2KfZhNix2KzYp9ihINi52K/ZhSDYqtis2KfZh9mEINin2YTYp9mF2LEg?=</f>
        <v/>
      </c>
      <c r="D716" s="2" t="inlineStr">
        <is>
          <t xml:space="preserve">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خالد المطيري ماجر الجخورs- : 65188868  ‫أُرسلت من الـ iPhone‬ </t>
        </is>
      </c>
      <c r="E716" s="4" t="inlineStr">
        <is>
          <t>65188868</t>
        </is>
      </c>
    </row>
    <row r="717" ht="18" customHeight="1">
      <c r="A717" s="5" t="inlineStr">
        <is>
          <t>khalid almutairi &lt;5ex@live.com&gt;</t>
        </is>
      </c>
      <c r="B717" s="6" t="inlineStr">
        <is>
          <t>5ex@live.com</t>
        </is>
      </c>
      <c r="C717" s="5">
        <f>?utf-8?B?2YXZh9mFINis2K/Yp9mLINiMICDYudiv2YUg2YbYtNixINmF2LnZhNmI2YU=?=  =?utf-8?B?2KfYqtmKINin2YTYtNiu2LXZitmHIA==?=</f>
        <v/>
      </c>
      <c r="D717" s="5" t="inlineStr">
        <is>
          <t xml:space="preserve">﻿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17" s="7" t="inlineStr">
        <is>
          <t>65188868</t>
        </is>
      </c>
    </row>
    <row r="718" ht="18" customHeight="1">
      <c r="A718" s="2" t="inlineStr">
        <is>
          <t>khalid almutairi &lt;5ex@live.com&gt;</t>
        </is>
      </c>
      <c r="B718" s="3" t="inlineStr">
        <is>
          <t>5ex@live.com</t>
        </is>
      </c>
      <c r="C718" s="2">
        <f>?utf-8?B?2YXZh9mFINis2K/Yp9mLINiMICDYudiv2YUg2YbYtNixINmF2LnZhNmI2YU=?=  =?utf-8?B?2KfYqtmKINin2YTYtNiu2LXZitmHIA==?=</f>
        <v/>
      </c>
      <c r="D718" s="2" t="inlineStr">
        <is>
          <t xml:space="preserve">﻿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18" s="4" t="inlineStr">
        <is>
          <t>65188868</t>
        </is>
      </c>
    </row>
    <row r="719" ht="18" customHeight="1">
      <c r="A719" s="5" t="inlineStr">
        <is>
          <t>m6iyr &lt;alm6iry@hotmail.com&gt;</t>
        </is>
      </c>
      <c r="B719" s="6" t="inlineStr">
        <is>
          <t>alm6iry@hotmail.com</t>
        </is>
      </c>
      <c r="C719" s="5">
        <f>?utf-8?B?2YXZh9mFINis2K/Yp9mLINiMICDYudiv2YUg2YbYtNixINmF2LnZhNmI2YU=?=  =?utf-8?B?2KfYqtmKINin2YTYtNiu2LXZitmHIA==?=</f>
        <v/>
      </c>
      <c r="D719" s="5" t="inlineStr">
        <is>
          <t xml:space="preserve">﻿ ﻿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719" s="7" t="inlineStr">
        <is>
          <t>65188868</t>
        </is>
      </c>
    </row>
    <row r="720" ht="18" customHeight="1">
      <c r="A720" s="2">
        <f>?utf-8?Q?=E2=80=8FDalal_=E2=80=8F_Almutairi?= &lt;dlu494@yahoo.com&gt;</f>
        <v/>
      </c>
      <c r="B720" s="3" t="inlineStr">
        <is>
          <t>dlu494@yahoo.com</t>
        </is>
      </c>
      <c r="C720" s="2">
        <f>?utf-8?B?2LfZhNioINit2LDZgSDYsdmC2YU=?=</f>
        <v/>
      </c>
      <c r="D720" s="2" t="inlineStr">
        <is>
          <t>سلام عليكم رقمي احد مسجله أسامي غير لائقه  ( فاظل وبهلول وbahlol ممكنن تمسحونهم؟     أُرسلت من الـ iPhone‬</t>
        </is>
      </c>
      <c r="E720" s="4" t="inlineStr"/>
    </row>
    <row r="721" ht="18" customHeight="1">
      <c r="A721" s="5" t="inlineStr">
        <is>
          <t>"Khaled B. Alsaleh" &lt;alsaleh.khaled@gmail.com&gt;</t>
        </is>
      </c>
      <c r="B721" s="6" t="inlineStr">
        <is>
          <t>alsaleh.khaled@gmail.com</t>
        </is>
      </c>
      <c r="C721" s="5">
        <f>?utf-8?B?2KXYrtmB2KfYoSDYsdmC2YXZig==?=</f>
        <v/>
      </c>
      <c r="D721" s="5" t="inlineStr">
        <is>
          <t>Hello! How can we help you?  السلام عليكم من فضلكم أبي أخفي رقمي.  طرار مطلع رقمي من برنامجكم ومتصل فيني يطر.   Regards,  Khaled B. Alsaleh</t>
        </is>
      </c>
      <c r="E721" s="7" t="inlineStr"/>
    </row>
    <row r="722" ht="18" customHeight="1">
      <c r="A722" s="2">
        <f>?utf-8?Q?H=F0=9F=92=9F_alblooshy?= &lt;zahraa21x@icloud.com&gt;</f>
        <v/>
      </c>
      <c r="B722" s="3" t="inlineStr">
        <is>
          <t>zahraa21x@icloud.com</t>
        </is>
      </c>
      <c r="C722" s="2" t="inlineStr"/>
      <c r="D722" s="2" t="inlineStr">
        <is>
          <t>Hello! How can we help you?  Report متطفلين حسب بلاغات من بلدك KW :   ‫أُرسلت من الـ iPhone‬</t>
        </is>
      </c>
      <c r="E722" s="4" t="inlineStr"/>
    </row>
    <row r="723" ht="18" customHeight="1">
      <c r="A723" s="5" t="inlineStr">
        <is>
          <t>"HuMooD ." &lt;mr.humood@hotmail.com&gt;</t>
        </is>
      </c>
      <c r="B723" s="6" t="inlineStr">
        <is>
          <t>mr.humood@hotmail.com</t>
        </is>
      </c>
      <c r="C723" s="5" t="inlineStr"/>
      <c r="D723" s="5" t="inlineStr">
        <is>
          <t xml:space="preserve">Hello! How can we help you?  Report حمود بو حسين بيع نكات انستغرام- : 67757151  Sent from my iPhone </t>
        </is>
      </c>
      <c r="E723" s="7" t="inlineStr">
        <is>
          <t>67757151</t>
        </is>
      </c>
    </row>
    <row r="724" ht="18" customHeight="1">
      <c r="A724" s="2" t="inlineStr">
        <is>
          <t>"HuMooD ." &lt;mr.humood@hotmail.com&gt;</t>
        </is>
      </c>
      <c r="B724" s="3" t="inlineStr">
        <is>
          <t>mr.humood@hotmail.com</t>
        </is>
      </c>
      <c r="C724" s="2" t="inlineStr"/>
      <c r="D724" s="2" t="inlineStr">
        <is>
          <t xml:space="preserve">Hello! How can we help you?  Report حمود تابع زياده تويتر- : 67757151  Sent from my iPhone </t>
        </is>
      </c>
      <c r="E724" s="4" t="inlineStr">
        <is>
          <t>67757151</t>
        </is>
      </c>
    </row>
    <row r="725" ht="18" customHeight="1">
      <c r="A725" s="5" t="inlineStr">
        <is>
          <t>"HuMooD ." &lt;mr.humood@hotmail.com&gt;</t>
        </is>
      </c>
      <c r="B725" s="6" t="inlineStr">
        <is>
          <t>mr.humood@hotmail.com</t>
        </is>
      </c>
      <c r="C725" s="5" t="inlineStr"/>
      <c r="D725" s="5" t="inlineStr">
        <is>
          <t xml:space="preserve">Hello! How can we help you?  Report حمودالعنزي بيت الزكاه- : 67757151  Sent from my iPhone </t>
        </is>
      </c>
      <c r="E725" s="7" t="inlineStr">
        <is>
          <t>67757151</t>
        </is>
      </c>
    </row>
    <row r="726" ht="18" customHeight="1">
      <c r="A726" s="2" t="inlineStr">
        <is>
          <t>"HuMooD ." &lt;mr.humood@hotmail.com&gt;</t>
        </is>
      </c>
      <c r="B726" s="3" t="inlineStr">
        <is>
          <t>mr.humood@hotmail.com</t>
        </is>
      </c>
      <c r="C726" s="2" t="inlineStr"/>
      <c r="D726" s="2" t="inlineStr">
        <is>
          <t xml:space="preserve">Hello! How can we help you?  Report حمود فلورز- : 67757151  Sent from my iPhone </t>
        </is>
      </c>
      <c r="E726" s="4" t="inlineStr">
        <is>
          <t>67757151</t>
        </is>
      </c>
    </row>
    <row r="727" ht="18" customHeight="1">
      <c r="A727" s="5" t="inlineStr">
        <is>
          <t>"Tala ." &lt;talamodel@icloud.com&gt;</t>
        </is>
      </c>
      <c r="B727" s="6" t="inlineStr">
        <is>
          <t>talamodel@icloud.com</t>
        </is>
      </c>
      <c r="C727" s="5" t="inlineStr"/>
      <c r="D727" s="5" t="inlineStr">
        <is>
          <t>يرجى الحذف Hello! How can we help you?  Report Tala Ashour Bsk : 99905511    Sent from my iPhone</t>
        </is>
      </c>
      <c r="E727" s="7" t="inlineStr">
        <is>
          <t>99905511</t>
        </is>
      </c>
    </row>
    <row r="728" ht="18" customHeight="1">
      <c r="A728" s="2" t="inlineStr">
        <is>
          <t>"Tala ." &lt;talamodel@icloud.com&gt;</t>
        </is>
      </c>
      <c r="B728" s="3" t="inlineStr">
        <is>
          <t>talamodel@icloud.com</t>
        </is>
      </c>
      <c r="C728" s="2" t="inlineStr"/>
      <c r="D728" s="2" t="inlineStr">
        <is>
          <t>يرجى الحذف Hello! How can we help you?  Report Tala Ashour : 99905511    Sent from my iPhone</t>
        </is>
      </c>
      <c r="E728" s="4" t="inlineStr">
        <is>
          <t>99905511</t>
        </is>
      </c>
    </row>
    <row r="729" ht="18" customHeight="1">
      <c r="A729" s="5" t="inlineStr">
        <is>
          <t>"Tala ." &lt;talamodel@icloud.com&gt;</t>
        </is>
      </c>
      <c r="B729" s="6" t="inlineStr">
        <is>
          <t>talamodel@icloud.com</t>
        </is>
      </c>
      <c r="C729" s="5" t="inlineStr"/>
      <c r="D729" s="5" t="inlineStr">
        <is>
          <t>يرجى الحذف Hello! How can we help you?  Report تالا-عاشور : 99905511    Sent from my iPhone</t>
        </is>
      </c>
      <c r="E729" s="7" t="inlineStr">
        <is>
          <t>99905511</t>
        </is>
      </c>
    </row>
    <row r="730" ht="18" customHeight="1">
      <c r="A730" s="2" t="inlineStr">
        <is>
          <t>"Tala ." &lt;talamodel@icloud.com&gt;</t>
        </is>
      </c>
      <c r="B730" s="3" t="inlineStr">
        <is>
          <t>talamodel@icloud.com</t>
        </is>
      </c>
      <c r="C730" s="2" t="inlineStr"/>
      <c r="D730" s="2" t="inlineStr">
        <is>
          <t>يرجى الحذفHello! How can we help you?  Report عزيز-ماجد3 : 99905511    Sent from my iPhone</t>
        </is>
      </c>
      <c r="E730" s="4" t="inlineStr">
        <is>
          <t>99905511</t>
        </is>
      </c>
    </row>
    <row r="731" ht="18" customHeight="1">
      <c r="A731" s="5">
        <f>?utf-8?B?2KfZhdmK2LHZhyDYp9mE2YXYt9mK2LHZig==?= &lt;mm-8q@hotmail.com&gt;</f>
        <v/>
      </c>
      <c r="B731" s="6" t="inlineStr">
        <is>
          <t>mm-8q@hotmail.com</t>
        </is>
      </c>
      <c r="C731" s="5">
        <f>?utf-8?B?2YXYs9itINin2YTYp9iz2YUg2K7Yt9in2KE=?=</f>
        <v/>
      </c>
      <c r="D731" s="5" t="inlineStr">
        <is>
          <t xml:space="preserve">Hello! How can we help you?  Report محمد نبيل2- : 96615047  الاسم غير صحيح يرجى مسح هذا الاسم ‫أُرسلت من الـ iPhone‬ </t>
        </is>
      </c>
      <c r="E731" s="7" t="inlineStr">
        <is>
          <t>96615047</t>
        </is>
      </c>
    </row>
    <row r="732" ht="18" customHeight="1">
      <c r="A732" s="2" t="inlineStr">
        <is>
          <t>yasser serag &lt;alserag@live.com&gt;</t>
        </is>
      </c>
      <c r="B732" s="3" t="inlineStr">
        <is>
          <t>alserag@live.com</t>
        </is>
      </c>
      <c r="C732" s="2" t="inlineStr"/>
      <c r="D732" s="2" t="inlineStr">
        <is>
          <t xml:space="preserve">Hello! How can we help you?  Report متطفلين حسب بلاغات من بلدك KW :  Yasser </t>
        </is>
      </c>
      <c r="E732" s="4" t="inlineStr"/>
    </row>
    <row r="733" ht="18" customHeight="1">
      <c r="A733" s="5" t="inlineStr">
        <is>
          <t>FAISAL ALKHALEDI &lt;funny_kwt18@icloud.com&gt;</t>
        </is>
      </c>
      <c r="B733" s="6" t="inlineStr">
        <is>
          <t>funny_kwt18@icloud.com</t>
        </is>
      </c>
      <c r="C733" s="5">
        <f>?utf-8?B?2YrYsdis2Ykg2YXYs9itINmH2LDYpyDYp9mE2KrYudio2YrYsSA=?=  =?utf-8?B?2KfZhNi62YrYsSDZhNin2KbZgiDYqNmKIA==?=</f>
        <v/>
      </c>
      <c r="D733" s="5" t="inlineStr">
        <is>
          <t>Hello! How can we help you?  Report سكرتيره : 98033444   Sent from my iPhone</t>
        </is>
      </c>
      <c r="E733" s="7" t="inlineStr">
        <is>
          <t>98033444</t>
        </is>
      </c>
    </row>
    <row r="734" ht="18" customHeight="1">
      <c r="A734" s="2" t="inlineStr">
        <is>
          <t>FAISAL ALKHALEDI &lt;funny_kwt18@icloud.com&gt;</t>
        </is>
      </c>
      <c r="B734" s="3" t="inlineStr">
        <is>
          <t>funny_kwt18@icloud.com</t>
        </is>
      </c>
      <c r="C734" s="2" t="inlineStr"/>
      <c r="D734" s="2" t="inlineStr">
        <is>
          <t xml:space="preserve">Hello! How can we help you?  Report فيصل الخالدي دي جي- : 99822444   Sent from my iPhoneيرجى مسح. هذا التعبير الغير لائق بي </t>
        </is>
      </c>
      <c r="E734" s="4" t="inlineStr">
        <is>
          <t>99822444</t>
        </is>
      </c>
    </row>
    <row r="735" ht="18" customHeight="1">
      <c r="A735" s="5" t="inlineStr">
        <is>
          <t>FAISAL ALKHALEDI &lt;funny_kwt18@icloud.com&gt;</t>
        </is>
      </c>
      <c r="B735" s="6" t="inlineStr">
        <is>
          <t>funny_kwt18@icloud.com</t>
        </is>
      </c>
      <c r="C735" s="5" t="inlineStr">
        <is>
          <t>!!!!!!!</t>
        </is>
      </c>
      <c r="D735" s="5" t="inlineStr">
        <is>
          <t>Hello! How can we help you?  Report فيصل الخالدي دي جي- : 99822444   Sent from my iPhone</t>
        </is>
      </c>
      <c r="E735" s="7" t="inlineStr">
        <is>
          <t>99822444</t>
        </is>
      </c>
    </row>
    <row r="736" ht="18" customHeight="1">
      <c r="A736" s="2" t="inlineStr">
        <is>
          <t>FAISAL ALKHALEDI &lt;funny_kwt18@icloud.com&gt;</t>
        </is>
      </c>
      <c r="B736" s="3" t="inlineStr">
        <is>
          <t>funny_kwt18@icloud.com</t>
        </is>
      </c>
      <c r="C736" s="2">
        <f>?utf-8?B?2YrYsdis2Ykg2YXYs9itINmH2LDYpyDYp9mE2KrYudmE2YrZgiA=?=  =?utf-8?B?2KfZhNiv2YrYrNmKINmE2KfZhtmKINmF2K3Yp9mF2Yog2YjZh9iw?=  =?utf-8?B?2Kcg2KfZhNin2LPZhSDYrti32Kcg2YjYs9mI2YEg2KfYqtiu2LAg?=  =?utf-8?B?2KfZhNin2KzYsdin2KHYp9iqINin2YTZgtin2YbZiNmG2YrYqSA=?=  =?utf-8?B?2YHZiiDYrdmC2YPZhSA=?=</f>
        <v/>
      </c>
      <c r="D736" s="2" t="inlineStr">
        <is>
          <t>Hello! How can we help you?  Report فيصل الخالدي دي جي- : 99822444   Sent from my iPhone</t>
        </is>
      </c>
      <c r="E736" s="4" t="inlineStr">
        <is>
          <t>99822444</t>
        </is>
      </c>
    </row>
    <row r="737" ht="18" customHeight="1">
      <c r="A737" s="5" t="inlineStr">
        <is>
          <t>FAISAL ALKHALEDI &lt;funny_kwt18@icloud.com&gt;</t>
        </is>
      </c>
      <c r="B737" s="6" t="inlineStr">
        <is>
          <t>funny_kwt18@icloud.com</t>
        </is>
      </c>
      <c r="C737" s="5">
        <f>?utf-8?B?2YrYsdis2Yog2YXYs9itINmH2LDYpyDYp9mE2KrYudio2YrYsSA=?=  =?utf-8?B?2KfZhNi62YrYsSDZhNin2KbZgiDYqNmKINmE2KfZhtmKINmF2K0=?=  =?utf-8?B?2KfZhdmKICDZhNmE2KPZh9mF2YrYqSDYp9mE2YLYtdmI2Ykg?=</f>
        <v/>
      </c>
      <c r="D737" s="5" t="inlineStr">
        <is>
          <t>Hello! How can we help you?  Report فيصل الخالدي دي جي- : 99822444   Sent from my iPhone</t>
        </is>
      </c>
      <c r="E737" s="7" t="inlineStr">
        <is>
          <t>99822444</t>
        </is>
      </c>
    </row>
    <row r="738" ht="18" customHeight="1">
      <c r="A738" s="2">
        <f>?utf-8?B?2YXYqNin2LHZgyDYp9mE2YfYp9is2LHZig==?= &lt;kentsaad977@gmail.com&gt;</f>
        <v/>
      </c>
      <c r="B738" s="3" t="inlineStr">
        <is>
          <t>kentsaad977@gmail.com</t>
        </is>
      </c>
      <c r="C738" s="2">
        <f>?utf-8?B?2KfYtNi32Kgg2YfYsNinINin2YTYp9iz2YUg2LbYsdmI2LHZiiA=?=  =?utf-8?B?2Iwg2YHZh9iw2Kcg2KfZhNin2LPZhSDZgdmK2Ycg2KXYs9in2KE=?=  =?utf-8?B?2Kkg2KjYp9mE2LrYqQ==?=</f>
        <v/>
      </c>
      <c r="D738" s="2" t="inlineStr">
        <is>
          <t>Hello! How can we help you?  Report وحده غبيه : 50335533   ‫أُرسلت من الـ iPhone‬</t>
        </is>
      </c>
      <c r="E738" s="4" t="inlineStr">
        <is>
          <t>50335533</t>
        </is>
      </c>
    </row>
    <row r="739" ht="18" customHeight="1">
      <c r="A739" s="5">
        <f>?UTF-8?B?2KfYrdmF2K8g2KzYudmB2LE=?= &lt;bo6ayob@gmail.com&gt;</f>
        <v/>
      </c>
      <c r="B739" s="6" t="inlineStr">
        <is>
          <t>bo6ayob@gmail.com</t>
        </is>
      </c>
      <c r="C739" s="5">
        <f>?UTF-8?B?RndkOiDYp9mE2LHYrNin2KEg2YXYs9itINin2YTYp9iz2YU=?=</f>
        <v/>
      </c>
      <c r="D739" s="5" t="inlineStr">
        <is>
          <t xml:space="preserve">يعطيكم العافيه امي ارسلت ايميل لكم بس مافي تواصل اتمنى من اداره البرنامج بحل هالمشكله ولي الحق باتخاذ كافه الاجراءات القانونيه بهذا الخصوص  ---------- Forwarded message --------- From: ‫احمد جعفر‬‎ &lt;bo6ayob@gmail.com&gt; Date: Tue, 21 Oct 2025 at 12:15 PM Subject: الرجاء مسح الاسم To: &lt;sales@menodag.com&gt;   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 </t>
        </is>
      </c>
      <c r="E739" s="7" t="inlineStr">
        <is>
          <t>98822231</t>
        </is>
      </c>
    </row>
    <row r="740" ht="18" customHeight="1">
      <c r="A740" s="2" t="inlineStr">
        <is>
          <t>fofo K &lt;pinkeshmoto@hotmail.com&gt;</t>
        </is>
      </c>
      <c r="B740" s="3" t="inlineStr">
        <is>
          <t>pinkeshmoto@hotmail.com</t>
        </is>
      </c>
      <c r="C740" s="2" t="inlineStr">
        <is>
          <t xml:space="preserve">Remove this please </t>
        </is>
      </c>
      <c r="D740" s="2" t="inlineStr">
        <is>
          <t xml:space="preserve">Hello! How can we help you?  Report Moo. Of Bue Marlin- : 60333933  Sent from my iPhone </t>
        </is>
      </c>
      <c r="E740" s="4" t="inlineStr">
        <is>
          <t>60333933</t>
        </is>
      </c>
    </row>
    <row r="741" ht="18" customHeight="1">
      <c r="A741" s="5" t="inlineStr">
        <is>
          <t>khalid almutairi &lt;5ex@live.com&gt;</t>
        </is>
      </c>
      <c r="B741" s="6" t="inlineStr">
        <is>
          <t>5ex@live.com</t>
        </is>
      </c>
      <c r="C741" s="5">
        <f>?utf-8?B?2KfZhNmKINin2YTYp9iuINmF2LPYp9i52K8g2KfZhNi52KfYstmF2Yog?=</f>
        <v/>
      </c>
      <c r="D741" s="5" t="inlineStr">
        <is>
          <t xml:space="preserve">﻿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41" s="7" t="inlineStr">
        <is>
          <t>65188868</t>
        </is>
      </c>
    </row>
    <row r="742" ht="18" customHeight="1">
      <c r="A742" s="2" t="inlineStr">
        <is>
          <t>khalid almutairi &lt;5ex@live.com&gt;</t>
        </is>
      </c>
      <c r="B742" s="3" t="inlineStr">
        <is>
          <t>5ex@live.com</t>
        </is>
      </c>
      <c r="C742" s="2">
        <f>?utf-8?B?2YXZh9mFINis2K/Yp9mLINiMICDYudiv2YUg2YbYtNixINmF2LnZhNmI2YU=?=  =?utf-8?B?2KfYqtmKINin2YTYtNiu2LXZitmHIA==?=</f>
        <v/>
      </c>
      <c r="D742" s="2" t="inlineStr">
        <is>
          <t xml:space="preserve">﻿ ﻿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42" s="4" t="inlineStr">
        <is>
          <t>65188868</t>
        </is>
      </c>
    </row>
    <row r="743" ht="18" customHeight="1">
      <c r="A743" s="5" t="inlineStr">
        <is>
          <t>khalid almutairi &lt;5ex@live.com&gt;</t>
        </is>
      </c>
      <c r="B743" s="6" t="inlineStr">
        <is>
          <t>5ex@live.com</t>
        </is>
      </c>
      <c r="C743" s="5">
        <f>?utf-8?B?2KfYsdis2KfYuSDYp9mE2K3YuNixINi52YTZiSDYp9mE2KfYs9mF2KfYoQ==?=</f>
        <v/>
      </c>
      <c r="D743"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43" s="7" t="inlineStr">
        <is>
          <t>65188868</t>
        </is>
      </c>
    </row>
    <row r="744" ht="18" customHeight="1">
      <c r="A744" s="2" t="inlineStr">
        <is>
          <t>m6iyr &lt;alm6iry@hotmail.com&gt;</t>
        </is>
      </c>
      <c r="B744" s="3" t="inlineStr">
        <is>
          <t>alm6iry@hotmail.com</t>
        </is>
      </c>
      <c r="C744" s="2">
        <f>?utf-8?B?2YXZh9mFINis2K/Yp9mLINiMICDYudiv2YUg2YbYtNixINmF2LnZhNmI2YU=?=  =?utf-8?B?2KfYqtmKINin2YTYtNiu2LXZitmHIA==?=</f>
        <v/>
      </c>
      <c r="D744" s="2" t="inlineStr">
        <is>
          <t xml:space="preserve">﻿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‫أُرسلت من الـ iPhone‬ </t>
        </is>
      </c>
      <c r="E744" s="4" t="inlineStr">
        <is>
          <t>65188868</t>
        </is>
      </c>
    </row>
    <row r="745" ht="18" customHeight="1">
      <c r="A745" s="5" t="inlineStr">
        <is>
          <t>khalid almutairi &lt;5ex@live.com&gt;</t>
        </is>
      </c>
      <c r="B745" s="6" t="inlineStr">
        <is>
          <t>5ex@live.com</t>
        </is>
      </c>
      <c r="C745" s="5">
        <f>?utf-8?B?2YXZh9mFINis2K/Yp9mLINiMICDYudiv2YUg2YbYtNixINmF2LnZhNmI2YU=?=  =?utf-8?B?2KfYqtmKINin2YTYtNiu2LXZitmHIA==?=</f>
        <v/>
      </c>
      <c r="D745" s="5" t="inlineStr">
        <is>
          <t xml:space="preserve">﻿ ﻿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45" s="7" t="inlineStr">
        <is>
          <t>65188868</t>
        </is>
      </c>
    </row>
    <row r="746" ht="18" customHeight="1">
      <c r="A746" s="2" t="inlineStr">
        <is>
          <t>M21-Kw ! &lt;omar11226644@gmail.com&gt;</t>
        </is>
      </c>
      <c r="B746" s="3" t="inlineStr">
        <is>
          <t>omar11226644@gmail.com</t>
        </is>
      </c>
      <c r="C746" s="2" t="inlineStr">
        <is>
          <t xml:space="preserve">Delete </t>
        </is>
      </c>
      <c r="D746" s="2" t="inlineStr">
        <is>
          <t>Hello! How can we help you?  Report Bbbods : 51037774   Sent from my iPhone</t>
        </is>
      </c>
      <c r="E746" s="4" t="inlineStr">
        <is>
          <t>51037774</t>
        </is>
      </c>
    </row>
    <row r="747" ht="18" customHeight="1">
      <c r="A747" s="5" t="inlineStr">
        <is>
          <t>M21-Kw ! &lt;omar11226644@gmail.com&gt;</t>
        </is>
      </c>
      <c r="B747" s="6" t="inlineStr">
        <is>
          <t>omar11226644@gmail.com</t>
        </is>
      </c>
      <c r="C747" s="5">
        <f>?utf-8?B?2YrYsdis2Ykg2KfZhNit2LDZgSDYqNmK2KfZhtin2Kog2LTYrti1?=  =?utf-8?B?2YrZhw==?=</f>
        <v/>
      </c>
      <c r="D747" s="5" t="inlineStr">
        <is>
          <t>Hello! How can we help you?  Report زبون السرة ق3 ش2 م2 ❌❌❌ : 51037774   Sent from my iPhone</t>
        </is>
      </c>
      <c r="E747" s="7" t="inlineStr">
        <is>
          <t>51037774</t>
        </is>
      </c>
    </row>
    <row r="748" ht="18" customHeight="1">
      <c r="A748" s="2">
        <f>?utf-8?B?2YHZhNin2YYg2KfZhNmB2YTYp9mG2Yo=?= &lt;x6_2000@hotmail.com&gt;</f>
        <v/>
      </c>
      <c r="B748" s="3" t="inlineStr">
        <is>
          <t>x6_2000@hotmail.com</t>
        </is>
      </c>
      <c r="C748" s="2">
        <f>?utf-8?B?2YrYsdis2Ykg2K3Yt9mBINin2YTYsdmC2YUg2KjYo9iz2LHYuSDZiNmC2Kog?=  =?utf-8?B?2YjYrNmF2YrYuSDYp9mE2KjZitin2YbYp9iqINio2LTZg9mEINmG2YfYp9im?=  =?utf-8?B?2YogIQ==?=</f>
        <v/>
      </c>
      <c r="D748"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Report Haya : 65855115   </t>
        </is>
      </c>
      <c r="E748" s="4" t="inlineStr">
        <is>
          <t>65855115</t>
        </is>
      </c>
    </row>
    <row r="749" ht="18" customHeight="1">
      <c r="A749" s="5">
        <f>?utf-8?B?2YHZhNin2YYg2KfZhNmB2YTYp9mG2Yo=?= &lt;x6_2000@hotmail.com&gt;</f>
        <v/>
      </c>
      <c r="B749" s="6" t="inlineStr">
        <is>
          <t>x6_2000@hotmail.com</t>
        </is>
      </c>
      <c r="C749" s="5">
        <f>?utf-8?B?2KfZhNix2KzYp9ihINit2LDZgSDYp9mE2LHZgtmFINmI2KfZhNio2YrYp9mG?=  =?utf-8?B?2KfYqiDYqNi02YPZhCDZhtmH2KfYptmKINin2YbYqtmFINiq2K/YrtmE2Yg=?=  =?utf-8?B?2YbZhtmKINmB2Yog2YXYtNin2YPZhCDZg9ir2YrYsdmH?=</f>
        <v/>
      </c>
      <c r="D749" s="5"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Report Haya : 65855115   </t>
        </is>
      </c>
      <c r="E749" s="7" t="inlineStr">
        <is>
          <t>65855115</t>
        </is>
      </c>
    </row>
    <row r="750" ht="18" customHeight="1">
      <c r="A750" s="2">
        <f>?utf-8?B?2YHZhNin2YYg2KfZhNmB2YTYp9mG2Yo=?= &lt;x6_2000@hotmail.com&gt;</f>
        <v/>
      </c>
      <c r="B750" s="3" t="inlineStr">
        <is>
          <t>x6_2000@hotmail.com</t>
        </is>
      </c>
      <c r="C750" s="2">
        <f>?utf-8?B?2KfZhNix2KzYp9ihINit2LDZgSDYqNi02YPZhCDZhtmH2KfYptmKINmI2Lk=?=  =?utf-8?B?2K/ZhSDYp9ix2K3Yp9i52Ycg2KfZhtiq2YUg2KrYr9iu2YTZiNmG2YbZiiA=?=  =?utf-8?B?2YHZiiDZhdi02KfZg9mEINmD2KvZitix2Yc=?=</f>
        <v/>
      </c>
      <c r="D750" s="2" t="inlineStr">
        <is>
          <t xml:space="preserve">الرجاء مسح الرقم 65855115 للضرورة منعاً للاحراج واجتناباً للمشاكل واحتراماً للخصوصية لقد ابلغتكم اكثر من مره ولكن تحذفون الرقم فتره بسيطه وترجعونه وهذا فيه انتهاك للخصوصية الرجاء احترام الخصوصية وحذف الرقم بشكل نهائي  Report حسن ولد فهيد بن علي ال شامر : 65855115  ‫ </t>
        </is>
      </c>
      <c r="E750" s="4" t="inlineStr">
        <is>
          <t>65855115</t>
        </is>
      </c>
    </row>
    <row r="751" ht="18" customHeight="1">
      <c r="A751" s="5" t="inlineStr">
        <is>
          <t>Rasha Reda &lt;rashalibra21@icloud.com&gt;</t>
        </is>
      </c>
      <c r="B751" s="6" t="inlineStr">
        <is>
          <t>rashalibra21@icloud.com</t>
        </is>
      </c>
      <c r="C751" s="5" t="inlineStr"/>
      <c r="D751" s="5" t="inlineStr">
        <is>
          <t>Hello! How can we help you?  Report Driver : 97985806   Sent from my iPhone ب حذف/تصحيح اسم من قاعدة بيانات منو داق   السلام عليكم،    أطلب منكم حذف/تصحيح السجل التالي في تطبيق منو داق:  - الاسم في التطبيق: [اكتب الاسم كما يظهر]  - رقم الهاتف المرتبط: [اكتب رقم الهاتف]  - سبب الطلب: [خطأ في الاسم / إساءة / انتهاك خصوصية / إلخ]    أرفقت لقطة شاشة توضح السجل. أرجو تأكيد الاستلام وإعلامي بموعد تقريبِي لتنفيذ الحجْز أو الحذف، وما إذا كنتم بحاجة لمعلومات إضافية.    تحياتي،  [اسمك] — رشا</t>
        </is>
      </c>
      <c r="E751" s="7" t="inlineStr">
        <is>
          <t>97985806</t>
        </is>
      </c>
    </row>
    <row r="752" ht="18" customHeight="1">
      <c r="A752" s="2" t="inlineStr">
        <is>
          <t>"=?utf-8?B?2KvYp9mF2LEg2KfZhNmB2LbZhNmK?=" &lt;thamralsnad@gmail.com&gt;</t>
        </is>
      </c>
      <c r="B752" s="3" t="inlineStr">
        <is>
          <t>thamralsnad@gmail.com</t>
        </is>
      </c>
      <c r="C752" s="2" t="inlineStr"/>
      <c r="D752" s="2" t="inlineStr">
        <is>
          <t>Hello! How can we help you?  Report ثامر براك سعيد سناد : 99716340   ‫أُرسلت من الـ iPhone‬</t>
        </is>
      </c>
      <c r="E752" s="4" t="inlineStr">
        <is>
          <t>99716340</t>
        </is>
      </c>
    </row>
    <row r="753" ht="18" customHeight="1">
      <c r="A753" s="5" t="inlineStr">
        <is>
          <t>HADI ALHAJERI &lt;hadi.q8@hotmail.com&gt;</t>
        </is>
      </c>
      <c r="B753" s="6" t="inlineStr">
        <is>
          <t>hadi.q8@hotmail.com</t>
        </is>
      </c>
      <c r="C753" s="5" t="inlineStr"/>
      <c r="D753" s="5" t="inlineStr">
        <is>
          <t xml:space="preserve">Hello! How can we help you?  Report مشعل قيقا الهاجري- : 66111963 </t>
        </is>
      </c>
      <c r="E753" s="7" t="inlineStr">
        <is>
          <t>66111963</t>
        </is>
      </c>
    </row>
    <row r="754" ht="18" customHeight="1">
      <c r="A754" s="2" t="inlineStr">
        <is>
          <t>mona ali &lt;rokayaelyacoubi2018@icloud.com&gt;</t>
        </is>
      </c>
      <c r="B754" s="3" t="inlineStr">
        <is>
          <t>rokayaelyacoubi2018@icloud.com</t>
        </is>
      </c>
      <c r="C754" s="2">
        <f>?utf-8?B?2LTZitmE2YjYpyDYsdmC2YXZhdmF2YU=?=</f>
        <v/>
      </c>
      <c r="D754" s="2" t="inlineStr">
        <is>
          <t>Hello! How can we help you?  Report تهاني ابريم- : 99305789   ‫أُرسلت من الـ iPhone‬</t>
        </is>
      </c>
      <c r="E754" s="4" t="inlineStr">
        <is>
          <t>99305789</t>
        </is>
      </c>
    </row>
    <row r="755" ht="18" customHeight="1">
      <c r="A755" s="5" t="inlineStr">
        <is>
          <t>mona ali &lt;rokayaelyacoubi2018@icloud.com&gt;</t>
        </is>
      </c>
      <c r="B755" s="6" t="inlineStr">
        <is>
          <t>rokayaelyacoubi2018@icloud.com</t>
        </is>
      </c>
      <c r="C755" s="5">
        <f>?utf-8?B?2LTZitmE2YjYpyDYp9mE2LHZgtmF2YXZhdmF2YXZhQ==?=</f>
        <v/>
      </c>
      <c r="D755" s="5" t="inlineStr">
        <is>
          <t>Hello! How can we help you?  Report تهاني ابريم- : 99305789   ‫أُرسلت من الـ iPhone‬</t>
        </is>
      </c>
      <c r="E755" s="7" t="inlineStr">
        <is>
          <t>99305789</t>
        </is>
      </c>
    </row>
    <row r="756" ht="18" customHeight="1">
      <c r="A756" s="2" t="inlineStr">
        <is>
          <t>Sanaa Alshammri &lt;alshammrisanaa@gmail.com&gt;</t>
        </is>
      </c>
      <c r="B756" s="3" t="inlineStr">
        <is>
          <t>alshammrisanaa@gmail.com</t>
        </is>
      </c>
      <c r="C756" s="2" t="inlineStr">
        <is>
          <t>Remove</t>
        </is>
      </c>
      <c r="D756" s="2" t="inlineStr">
        <is>
          <t>Hello! How can we help you?  Report تبي بيت سعد العبدالله من طرف بوبدر : 52220042   Sent from my iPhone</t>
        </is>
      </c>
      <c r="E756" s="4" t="inlineStr">
        <is>
          <t>52220042</t>
        </is>
      </c>
    </row>
    <row r="757" ht="18" customHeight="1">
      <c r="A757" s="5" t="inlineStr">
        <is>
          <t>khalid almutairi &lt;5ex@live.com&gt;</t>
        </is>
      </c>
      <c r="B757" s="6" t="inlineStr">
        <is>
          <t>5ex@live.com</t>
        </is>
      </c>
      <c r="C757" s="5">
        <f>?utf-8?B?2KfYsdis2KfYuSDYp9mE2K3YuNixINi52YTZiSDYp9mE2KfYs9mF2KfYoQ==?=</f>
        <v/>
      </c>
      <c r="D757" s="5" t="inlineStr">
        <is>
          <t xml:space="preserve">﻿  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57" s="7" t="inlineStr">
        <is>
          <t>65188868</t>
        </is>
      </c>
    </row>
    <row r="758" ht="18" customHeight="1">
      <c r="A758" s="2" t="inlineStr">
        <is>
          <t>khalidwalidalomar@gmail.com</t>
        </is>
      </c>
      <c r="B758" s="3" t="inlineStr">
        <is>
          <t>khalidwalidalomar@gmail.com</t>
        </is>
      </c>
      <c r="C758" s="2" t="inlineStr"/>
      <c r="D758" s="2" t="inlineStr">
        <is>
          <t>Hello! How can we help you?  Report زبون الرقة : 69662891   Sent from my iPhone</t>
        </is>
      </c>
      <c r="E758" s="4" t="inlineStr">
        <is>
          <t>69662891</t>
        </is>
      </c>
    </row>
    <row r="759" ht="18" customHeight="1">
      <c r="A759" s="5" t="inlineStr">
        <is>
          <t>abdullah ala &lt;amhq819@gmail.com&gt;</t>
        </is>
      </c>
      <c r="B759" s="6" t="inlineStr">
        <is>
          <t>amhq819@gmail.com</t>
        </is>
      </c>
      <c r="C759" s="5">
        <f>?utf-8?B?2KfZhNin2LPZhSDZitin2LDZitmG2Yog2YTZiCDYs9mF2K3YqtmI?=  =?utf-8?B?2Kcg2YXYp9ix2LbZiSDYqti52LHYttmI2YYg2YfYp9mE2LTZig==?=</f>
        <v/>
      </c>
      <c r="D759" s="5" t="inlineStr">
        <is>
          <t>Hello! How can we help you?  Report عبد الله محمد شنط -سوري : 55797589   ‫أُرسلت من الـ iPhone‬</t>
        </is>
      </c>
      <c r="E759" s="7" t="inlineStr">
        <is>
          <t>55797589</t>
        </is>
      </c>
    </row>
    <row r="760" ht="18" customHeight="1">
      <c r="A760" s="2" t="inlineStr">
        <is>
          <t>h h &lt;kaldfhd5@gmail.com&gt;</t>
        </is>
      </c>
      <c r="B760" s="3" t="inlineStr">
        <is>
          <t>kaldfhd5@gmail.com</t>
        </is>
      </c>
      <c r="C760" s="2" t="inlineStr"/>
      <c r="D760" s="2" t="inlineStr">
        <is>
          <t>Hello! How can we help you?  Report خالد المطي2 : 51330609   Sent from my iPhone</t>
        </is>
      </c>
      <c r="E760" s="4" t="inlineStr">
        <is>
          <t>51330609</t>
        </is>
      </c>
    </row>
    <row r="761" ht="18" customHeight="1">
      <c r="A761" s="5" t="inlineStr">
        <is>
          <t>"Tala ." &lt;talamodel@icloud.com&gt;</t>
        </is>
      </c>
      <c r="B761" s="6" t="inlineStr">
        <is>
          <t>talamodel@icloud.com</t>
        </is>
      </c>
      <c r="C761" s="5" t="inlineStr"/>
      <c r="D761" s="5" t="inlineStr">
        <is>
          <t>يرجى الحذفHello! How can we help you?  Report تاتا : 99905511    Sent from my iPhone</t>
        </is>
      </c>
      <c r="E761" s="7" t="inlineStr">
        <is>
          <t>99905511</t>
        </is>
      </c>
    </row>
    <row r="762" ht="18" customHeight="1">
      <c r="A762" s="2">
        <f>?UTF-8?B?2YXYrdmF2K8g2LPZhNmF2KfZhg==?= &lt;kwt.501.ms@gmail.com&gt;</f>
        <v/>
      </c>
      <c r="B762" s="3" t="inlineStr">
        <is>
          <t>kwt.501.ms@gmail.com</t>
        </is>
      </c>
      <c r="C762" s="2" t="inlineStr"/>
      <c r="D762" s="2" t="inlineStr">
        <is>
          <t xml:space="preserve">ابي امسح الاسماء تطلع باسمي </t>
        </is>
      </c>
      <c r="E762" s="4" t="inlineStr"/>
    </row>
    <row r="763" ht="18" customHeight="1">
      <c r="A763" s="5" t="inlineStr">
        <is>
          <t>"Tala ." &lt;talamodel@icloud.com&gt;</t>
        </is>
      </c>
      <c r="B763" s="6" t="inlineStr">
        <is>
          <t>talamodel@icloud.com</t>
        </is>
      </c>
      <c r="C763" s="5" t="inlineStr"/>
      <c r="D763" s="5" t="inlineStr">
        <is>
          <t>يرجى الحذفHello! How can we help you?  Report tala bsk : 99905511    Sent from my iPhone</t>
        </is>
      </c>
      <c r="E763" s="7" t="inlineStr">
        <is>
          <t>99905511</t>
        </is>
      </c>
    </row>
    <row r="764" ht="18" customHeight="1">
      <c r="A764" s="2" t="inlineStr">
        <is>
          <t>"Tala ." &lt;talamodel@icloud.com&gt;</t>
        </is>
      </c>
      <c r="B764" s="3" t="inlineStr">
        <is>
          <t>talamodel@icloud.com</t>
        </is>
      </c>
      <c r="C764" s="2" t="inlineStr"/>
      <c r="D764" s="2" t="inlineStr">
        <is>
          <t>يرجى الحذف Hello! How can we help you?  Report غزل 18 : 99905511    Sent from my iPhone</t>
        </is>
      </c>
      <c r="E764" s="4" t="inlineStr">
        <is>
          <t>99905511</t>
        </is>
      </c>
    </row>
    <row r="765" ht="18" customHeight="1">
      <c r="A765" s="5" t="inlineStr">
        <is>
          <t>Mariam Altabbaa &lt;eng.mariam.altabbaa@gmail.com&gt;</t>
        </is>
      </c>
      <c r="B765" s="6" t="inlineStr">
        <is>
          <t>eng.mariam.altabbaa@gmail.com</t>
        </is>
      </c>
      <c r="C765" s="5">
        <f>?UTF-8?B?2LfZhNioINit2LDZgSDYsdmC2YU=?=</f>
        <v/>
      </c>
      <c r="D765" s="5" t="inlineStr">
        <is>
          <t xml:space="preserve">سبق وطلبت ازالة الرقم لانه هناك اسم مسيء وتم عمل اللازم ! اليوم يوصلني مسج بجدد اشتراك البلوك ! بأي حق ترجعون تحطون الاسماء المسيئه سووا ازاله دائمه حق الاسمين 60003870 </t>
        </is>
      </c>
      <c r="E765" s="7" t="inlineStr">
        <is>
          <t>60003870</t>
        </is>
      </c>
    </row>
    <row r="766" ht="18" customHeight="1">
      <c r="A766" s="2" t="inlineStr">
        <is>
          <t>khalid almutairi &lt;5ex@live.com&gt;</t>
        </is>
      </c>
      <c r="B766" s="3" t="inlineStr">
        <is>
          <t>5ex@live.com</t>
        </is>
      </c>
      <c r="C766" s="2">
        <f>?utf-8?B?2KfYsdis2KfYuSDYp9mE2K3YuNixINi52YTZiSDYp9mE2KfYs9mF2KfYoQ==?=</f>
        <v/>
      </c>
      <c r="D766" s="2" t="inlineStr">
        <is>
          <t xml:space="preserve">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66" s="4" t="inlineStr">
        <is>
          <t>65188868</t>
        </is>
      </c>
    </row>
    <row r="767" ht="18" customHeight="1">
      <c r="A767" s="5" t="inlineStr">
        <is>
          <t>K K &lt;k.alm6iry@hotmail.com&gt;</t>
        </is>
      </c>
      <c r="B767" s="6" t="inlineStr">
        <is>
          <t>k.alm6iry@hotmail.com</t>
        </is>
      </c>
      <c r="C767" s="5">
        <f>?utf-8?B?2KfZhNiz2YTYp9mFINi52YTZitmD2YUg?=</f>
        <v/>
      </c>
      <c r="D767" s="5" t="inlineStr">
        <is>
          <t xml:space="preserve">Hello! How can we help you?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Report Janam : 65188868  ‫أُرسلت من الـ iPhone‬ </t>
        </is>
      </c>
      <c r="E767" s="7" t="inlineStr">
        <is>
          <t>65188868</t>
        </is>
      </c>
    </row>
    <row r="768" ht="18" customHeight="1">
      <c r="A768" s="2" t="inlineStr">
        <is>
          <t>khalid almutairi &lt;5ex@live.com&gt;</t>
        </is>
      </c>
      <c r="B768" s="3" t="inlineStr">
        <is>
          <t>5ex@live.com</t>
        </is>
      </c>
      <c r="C768" s="2">
        <f>?utf-8?B?2KfZhNmKINin2YTYp9iuINmF2LPYp9i52K8g2KfZhNi52KfYstmF2Yog?=</f>
        <v/>
      </c>
      <c r="D768" s="2" t="inlineStr">
        <is>
          <t xml:space="preserve">﻿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68" s="4" t="inlineStr">
        <is>
          <t>65188868</t>
        </is>
      </c>
    </row>
    <row r="769" ht="18" customHeight="1">
      <c r="A769" s="5" t="inlineStr">
        <is>
          <t>khalid almutairi &lt;5ex@live.com&gt;</t>
        </is>
      </c>
      <c r="B769" s="6" t="inlineStr">
        <is>
          <t>5ex@live.com</t>
        </is>
      </c>
      <c r="C769" s="5">
        <f>?utf-8?B?2KfZhNmKINin2YTYp9iuINmF2LPYp9i52K8g2KfZhNi52KfYstmF2Yog?=</f>
        <v/>
      </c>
      <c r="D769" s="5" t="inlineStr">
        <is>
          <t xml:space="preserve">﻿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69" s="7" t="inlineStr">
        <is>
          <t>65188868</t>
        </is>
      </c>
    </row>
    <row r="770" ht="18" customHeight="1">
      <c r="A770" s="2" t="inlineStr">
        <is>
          <t>khalid almutairi &lt;5ex@live.com&gt;</t>
        </is>
      </c>
      <c r="B770" s="3" t="inlineStr">
        <is>
          <t>5ex@live.com</t>
        </is>
      </c>
      <c r="C770" s="2">
        <f>?utf-8?B?2YXZh9mFINis2K/Yp9mLINiMICDYudiv2YUg2YbYtNixINmF2LnZhNmI2YU=?=  =?utf-8?B?2KfYqtmKINin2YTYtNiu2LXZitmHIA==?=</f>
        <v/>
      </c>
      <c r="D770" s="2" t="inlineStr">
        <is>
          <t xml:space="preserve">﻿ ﻿ ﻿ ﻿ ﻿ ﻿  ﻿  السلام عليكم ورحمة الله وبركاتة ،  انا خالد المطيري  صاحب الرقم 65188868   تم دفع الرسوم من قبل لاخفاء بعض الاسماء المسيئة ،  وتم التجاوب معي ،، وتم منع الاسماء !  ولكن الان يصلني مسج انه تم انتهاء المدة ،  هذا ابتزاز وتدخل في امور شخصية ،، وانا غير موافق  سوف اقوم باول اجراء ، تقديم بلاغ ضد البرنامج في الاب ستور ، في انتهاك الخصوصيه  وبعدها يتم اتاخذ اجراء قانوني  بعد ما تم حظر هذي البرامج من قبل هيئه الاتصالات !   Hello! How can we help you?  Report نقنوق فديته- : 65188868   ‫أُرسلت من الـ iPhone‬   ‫أُرسلت من الـ iPhone‬ </t>
        </is>
      </c>
      <c r="E770" s="4" t="inlineStr">
        <is>
          <t>65188868</t>
        </is>
      </c>
    </row>
    <row r="771" ht="18" customHeight="1">
      <c r="A771" s="5" t="inlineStr">
        <is>
          <t>n_alfalah@icloud.com</t>
        </is>
      </c>
      <c r="B771" s="6" t="inlineStr">
        <is>
          <t>n_alfalah@icloud.com</t>
        </is>
      </c>
      <c r="C771" s="5" t="inlineStr"/>
      <c r="D771" s="5" t="inlineStr">
        <is>
          <t>Hello! How can we help you?  Report نوره محل زباين 123456 : 94445001   Sent from my iPhone</t>
        </is>
      </c>
      <c r="E771" s="7" t="inlineStr">
        <is>
          <t>94445001</t>
        </is>
      </c>
    </row>
    <row r="772" ht="18" customHeight="1">
      <c r="A772" s="2" t="inlineStr">
        <is>
          <t>n_alfalah@icloud.com</t>
        </is>
      </c>
      <c r="B772" s="3" t="inlineStr">
        <is>
          <t>n_alfalah@icloud.com</t>
        </is>
      </c>
      <c r="C772" s="2" t="inlineStr"/>
      <c r="D772" s="2" t="inlineStr">
        <is>
          <t>Hello! How can we help you?  Report احجار13 : 94445001   Sent from my iPhone</t>
        </is>
      </c>
      <c r="E772" s="4" t="inlineStr">
        <is>
          <t>94445001</t>
        </is>
      </c>
    </row>
    <row r="773" ht="18" customHeight="1">
      <c r="A773" s="5" t="inlineStr">
        <is>
          <t>n_alfalah@icloud.com</t>
        </is>
      </c>
      <c r="B773" s="6" t="inlineStr">
        <is>
          <t>n_alfalah@icloud.com</t>
        </is>
      </c>
      <c r="C773" s="5" t="inlineStr"/>
      <c r="D773" s="5" t="inlineStr">
        <is>
          <t>Hello! How can we help you?  Report 7ekmat El7ub Kela $$ : 94445001   Sent from my iPhone</t>
        </is>
      </c>
      <c r="E773" s="7" t="inlineStr">
        <is>
          <t>94445001</t>
        </is>
      </c>
    </row>
    <row r="774" ht="18" customHeight="1">
      <c r="A774" s="2" t="inlineStr">
        <is>
          <t>n_alfalah@icloud.com</t>
        </is>
      </c>
      <c r="B774" s="3" t="inlineStr">
        <is>
          <t>n_alfalah@icloud.com</t>
        </is>
      </c>
      <c r="C774" s="2" t="inlineStr"/>
      <c r="D774" s="2" t="inlineStr">
        <is>
          <t>Hello! How can we help you?  Report نوره دوام الوالده- : 94445001   Sent from my iPhone</t>
        </is>
      </c>
      <c r="E774" s="4" t="inlineStr">
        <is>
          <t>94445001</t>
        </is>
      </c>
    </row>
    <row r="775" ht="18" customHeight="1">
      <c r="A775" s="5" t="inlineStr">
        <is>
          <t>n_alfalah@icloud.com</t>
        </is>
      </c>
      <c r="B775" s="6" t="inlineStr">
        <is>
          <t>n_alfalah@icloud.com</t>
        </is>
      </c>
      <c r="C775" s="5" t="inlineStr"/>
      <c r="D775" s="5" t="inlineStr">
        <is>
          <t>Hello! How can we help you?  Report ز نورة الفلاح Lb160 B120 : 94445001   Sent from my iPhone</t>
        </is>
      </c>
      <c r="E775" s="7" t="inlineStr">
        <is>
          <t>94445001</t>
        </is>
      </c>
    </row>
    <row r="776" ht="18" customHeight="1">
      <c r="A776" s="2" t="inlineStr">
        <is>
          <t>MOHAMMAD GHOLOUM &lt;infamous88@icloud.com&gt;</t>
        </is>
      </c>
      <c r="B776" s="3" t="inlineStr">
        <is>
          <t>infamous88@icloud.com</t>
        </is>
      </c>
      <c r="C776" s="2" t="inlineStr"/>
      <c r="D776" s="2" t="inlineStr">
        <is>
          <t>Hello! How can we help you?  Report يعتدي ع خدم بيان ق6م7 ش21 : 90926277   ‫أُرسلت من الـ iPhone‬</t>
        </is>
      </c>
      <c r="E776" s="4" t="inlineStr">
        <is>
          <t>90926277</t>
        </is>
      </c>
    </row>
    <row r="777" ht="18" customHeight="1">
      <c r="A777" s="5" t="inlineStr">
        <is>
          <t>Shady Abo-Shady &lt;shdooy@gmail.com&gt;</t>
        </is>
      </c>
      <c r="B777" s="6" t="inlineStr">
        <is>
          <t>shdooy@gmail.com</t>
        </is>
      </c>
      <c r="C777" s="5" t="inlineStr">
        <is>
          <t>Re: My number</t>
        </is>
      </c>
      <c r="D777" s="5" t="inlineStr">
        <is>
          <t>Dears,  Hope this email finds you well This is my second time i find my numbers are up again 99890981 66633924 I have paid to remove them from the system and there was a previous email and it was removed and here we are again they are showing.  Kindly do the needful  Regards,    On Thu, Feb 20, 2025, 10:59 AM Menodag Sales &lt;sales@menodag.com&gt; wrote:  &gt; Done &gt; &gt; On Wed, Jan 8, 2025 at 11:51 AM Shady Abo-Shady &lt;shdooy@gmail.com&gt; wrote: &gt; &gt;&gt; Dears, &gt;&gt; &gt;&gt; Good day to you &gt;&gt; I have deleted my numbers from your application and I did pay using knet &gt;&gt; for my both numbers. &gt;&gt; 99890981 &gt;&gt; 66633924 &gt;&gt; &gt;&gt; That was 2 to 3 years ago and I can't find the knet screenshot for sure &gt;&gt; you have got some recor ...</t>
        </is>
      </c>
      <c r="E777" s="7" t="inlineStr">
        <is>
          <t>99890981, 66633924</t>
        </is>
      </c>
    </row>
    <row r="778" ht="18" customHeight="1">
      <c r="A778" s="2" t="inlineStr">
        <is>
          <t>Shady Abo-Shady &lt;shdooy@gmail.com&gt;</t>
        </is>
      </c>
      <c r="B778" s="3" t="inlineStr">
        <is>
          <t>shdooy@gmail.com</t>
        </is>
      </c>
      <c r="C778" s="2" t="inlineStr">
        <is>
          <t>My phone numbers</t>
        </is>
      </c>
      <c r="D778" s="2" t="inlineStr">
        <is>
          <t xml:space="preserve">Dears,  Hope this email finds you well This is my second time i find my numbers are up again 99890981 66633924 I have paid to remove them from the system and there was a previous email and it was removed and here we are again they are showing.  Kindly do the needful  Regards, </t>
        </is>
      </c>
      <c r="E778" s="4" t="inlineStr">
        <is>
          <t>99890981, 66633924</t>
        </is>
      </c>
    </row>
    <row r="779" ht="18" customHeight="1">
      <c r="A779" s="5" t="inlineStr">
        <is>
          <t>Reem Alhashash &lt;a.reem.n2@gmail.com&gt;</t>
        </is>
      </c>
      <c r="B779" s="6" t="inlineStr">
        <is>
          <t>a.reem.n2@gmail.com</t>
        </is>
      </c>
      <c r="C779" s="5">
        <f>?utf-8?B?2K3YsNmBINit2LDZgQ==?=</f>
        <v/>
      </c>
      <c r="D779" s="5" t="inlineStr">
        <is>
          <t xml:space="preserve"> أبوسالم (صباح السالم ق9)- : 66690460   ‫يرجى الحذف للخصوصية</t>
        </is>
      </c>
      <c r="E779" s="7" t="inlineStr">
        <is>
          <t>66690460</t>
        </is>
      </c>
    </row>
    <row r="780" ht="18" customHeight="1">
      <c r="A780" s="2" t="inlineStr">
        <is>
          <t>Maha Q8 &lt;mahawity@gmail.com&gt;</t>
        </is>
      </c>
      <c r="B780" s="3" t="inlineStr">
        <is>
          <t>mahawity@gmail.com</t>
        </is>
      </c>
      <c r="C780" s="2" t="inlineStr">
        <is>
          <t>Re: Its make me in danger and not privacy</t>
        </is>
      </c>
      <c r="D780" s="2" t="inlineStr">
        <is>
          <t xml:space="preserve">&gt; Hello ,  I wish you help me ! This is my number and somebody saving it by &gt; my address and that make me not save !  And no privacy any more &gt; Sooo please remove or delete my address ,, forever ! I wish that &gt;  My number 55400508  And I will put the pic of my address ! &gt; &gt; pleeeaaase &gt; &gt; </t>
        </is>
      </c>
      <c r="E780" s="4" t="inlineStr">
        <is>
          <t>55400508</t>
        </is>
      </c>
    </row>
    <row r="781" ht="18" customHeight="1">
      <c r="A781" s="5" t="inlineStr">
        <is>
          <t>Maha Q8 &lt;mahawity@gmail.com&gt;</t>
        </is>
      </c>
      <c r="B781" s="6" t="inlineStr">
        <is>
          <t>mahawity@gmail.com</t>
        </is>
      </c>
      <c r="C781" s="5">
        <f>?UTF-8?B?UmU6INi52K/ZhSDYp9mE2KfZhdin2YYg2Ygg2KfYrtiq2LHYp9mCINmE2YTYrti12YjYtQ==?= 	=?UTF-8?B?2YrZhw==?=</f>
        <v/>
      </c>
      <c r="D781" s="5" t="inlineStr">
        <is>
          <t xml:space="preserve">السلام عليكم &gt; لقد تم حفظ رقمي 55400508 بصيغه تبين عنواني الدقيق و هذا ما يجعلني في وضع &gt; غير آمن ويعرضني للخطر ! وعدم الخصوصيه ! ارجو مسح عنواني فقط للأبد وليس &gt; الغاء الاشتراك لفتره محدوده وانما الغاء عنواني ومسحه &gt; سوف ارفق صوره من عنواني في البرنامج &gt; رقمي 00965 - 55400508 &gt; ارجو مساعدتي و شكرا جزيلا لكم ،،، &gt; </t>
        </is>
      </c>
      <c r="E781" s="7" t="inlineStr">
        <is>
          <t>55400508</t>
        </is>
      </c>
    </row>
    <row r="782" ht="18" customHeight="1">
      <c r="A782" s="2" t="inlineStr">
        <is>
          <t>Koko B &lt;looya87@gmail.com&gt;</t>
        </is>
      </c>
      <c r="B782" s="3" t="inlineStr">
        <is>
          <t>looya87@gmail.com</t>
        </is>
      </c>
      <c r="C782" s="2">
        <f>?UTF-8?B?2LfZhNioINit2LDZgSDYsdmC2YU=?=</f>
        <v/>
      </c>
      <c r="D782" s="2" t="inlineStr">
        <is>
          <t xml:space="preserve">Dear All  Kindly delete the saved data of my number 66364062 Its showing some inappropriate names </t>
        </is>
      </c>
      <c r="E782" s="4" t="inlineStr">
        <is>
          <t>66364062</t>
        </is>
      </c>
    </row>
    <row r="783" ht="18" customHeight="1">
      <c r="A783" s="5" t="inlineStr">
        <is>
          <t>khaled alrashidi &lt;q8_8888@hotmail.com&gt;</t>
        </is>
      </c>
      <c r="B783" s="6" t="inlineStr">
        <is>
          <t>q8_8888@hotmail.com</t>
        </is>
      </c>
      <c r="C783" s="5">
        <f>?utf-8?B?2YXYs9mF2YrZhtmKINio2YbYqiDYp9mE2LHYrNin2KEg2YXYs9itINin2YQ=?=  =?utf-8?B?2KfYs9mF?=</f>
        <v/>
      </c>
      <c r="D783" s="5" t="inlineStr">
        <is>
          <t xml:space="preserve">Hello! How can we help you?  Report Norah-Abdullah : 99228998  ‫أُرسلت من الـ iPhone‬ </t>
        </is>
      </c>
      <c r="E783" s="7" t="inlineStr">
        <is>
          <t>99228998</t>
        </is>
      </c>
    </row>
    <row r="784" ht="18" customHeight="1">
      <c r="A784" s="2" t="inlineStr">
        <is>
          <t>khaled alrashidi &lt;q8_8888@hotmail.com&gt;</t>
        </is>
      </c>
      <c r="B784" s="3" t="inlineStr">
        <is>
          <t>q8_8888@hotmail.com</t>
        </is>
      </c>
      <c r="C784" s="2">
        <f>?utf-8?B?2YXYudmE2YjZhdin2KrZiiDYudmG2YjYp9mG2Yog2YXZhdmG2YjYuSDZiti3?=  =?utf-8?B?2YTYuSDYqNi02KrZg9mK?=</f>
        <v/>
      </c>
      <c r="D784" s="2" t="inlineStr">
        <is>
          <t xml:space="preserve">Hello! How can we help you?  Report صباح سالم ق 11 ش2 ج 3 م6 ابو براهيم : 99228998  ‫أُرسلت من الـ iPhone‬ </t>
        </is>
      </c>
      <c r="E784" s="4" t="inlineStr">
        <is>
          <t>99228998</t>
        </is>
      </c>
    </row>
    <row r="785" ht="18" customHeight="1">
      <c r="A785" s="5" t="inlineStr">
        <is>
          <t>Essa Alrashidi &lt;essaalrashidi18@gmail.com&gt;</t>
        </is>
      </c>
      <c r="B785" s="6" t="inlineStr">
        <is>
          <t>essaalrashidi18@gmail.com</t>
        </is>
      </c>
      <c r="C785" s="5">
        <f>?utf-8?B?2KfYs9mFINmF2LnZitio?=</f>
        <v/>
      </c>
      <c r="D785" s="5" t="inlineStr">
        <is>
          <t>Hello! How can we help you?  Report خدامه القسم : 50778100   ‫أُرسلت من الـ iPhone‬</t>
        </is>
      </c>
      <c r="E785" s="7" t="inlineStr">
        <is>
          <t>50778100</t>
        </is>
      </c>
    </row>
    <row r="786" ht="18" customHeight="1">
      <c r="A786" s="2" t="inlineStr">
        <is>
          <t>Naseer Q8 &lt;naseerq8305@icloud.com&gt;</t>
        </is>
      </c>
      <c r="B786" s="3" t="inlineStr">
        <is>
          <t>naseerq8305@icloud.com</t>
        </is>
      </c>
      <c r="C786" s="2">
        <f>?utf-8?B?2YXYsdit2KjYpw==?=</f>
        <v/>
      </c>
      <c r="D786" s="2" t="inlineStr">
        <is>
          <t>مرحبا انا سويت خدمه البلوك لرقمي     وتم الخصم 6 دنانير ولحد الان ما صار عليه بلوك     94186668</t>
        </is>
      </c>
      <c r="E786" s="4" t="inlineStr">
        <is>
          <t>94186668</t>
        </is>
      </c>
    </row>
    <row r="787" ht="18" customHeight="1">
      <c r="A787" s="5" t="inlineStr">
        <is>
          <t>Naseer Q8 &lt;naseerq8305@icloud.com&gt;</t>
        </is>
      </c>
      <c r="B787" s="6" t="inlineStr">
        <is>
          <t>naseerq8305@icloud.com</t>
        </is>
      </c>
      <c r="C787" s="5">
        <f>?utf-8?B?2YXYsdit2KjYpyA=?=</f>
        <v/>
      </c>
      <c r="D787" s="5" t="inlineStr">
        <is>
          <t>مرحبا  انا دفعت فلوس 6 دنانير وتم الخصم علشان خدمه بلوك الرقم    وللحين رقمي طالع ما سويتو له بلوك  94186668</t>
        </is>
      </c>
      <c r="E787" s="7" t="inlineStr">
        <is>
          <t>94186668</t>
        </is>
      </c>
    </row>
    <row r="788" ht="18" customHeight="1">
      <c r="A788" s="2">
        <f>?utf-8?B?4oCr2KfYrdmF2K8g2KzYudmB2LHigKzigI4=?= &lt;bo6ayob@gmail.com&gt;</f>
        <v/>
      </c>
      <c r="B788" s="3" t="inlineStr">
        <is>
          <t>bo6ayob@gmail.com</t>
        </is>
      </c>
      <c r="C788" s="2">
        <f>?utf-8?B?2KfZhNix2KzYp9ihINmF2LPYrSDYp9mE2KfYs9mF?=</f>
        <v/>
      </c>
      <c r="D788" s="2"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788" s="4" t="inlineStr">
        <is>
          <t>98822231</t>
        </is>
      </c>
    </row>
    <row r="789" ht="18" customHeight="1">
      <c r="A789" s="5">
        <f>?utf-8?B?4oCr2KfYrdmF2K8g2KzYudmB2LHigKzigI4=?= &lt;bo6ayob@gmail.com&gt;</f>
        <v/>
      </c>
      <c r="B789" s="6" t="inlineStr">
        <is>
          <t>bo6ayob@gmail.com</t>
        </is>
      </c>
      <c r="C789" s="5" t="inlineStr"/>
      <c r="D789" s="5" t="inlineStr">
        <is>
          <t>Hello! How can we help you?  Report صاحب الفراري الاحمر الفندق شيشة : 98822231  السلام عليكم يعطيكم العافيه الغالي انا كنت متواصل معاكم قبل 4 سنوات بخصوص الاسماء اللي موجوده برقمي بالبرنامج وانمسحت وحاليا رجعت نفس الاسماء الموجوده اتمنى تنمسح البيانات لان اشتغل بمكان حساس واتمنى تنلغي وخاصتا في اسامي شبهه  ناطر تواصلكم Sent from my iPhone</t>
        </is>
      </c>
      <c r="E789" s="7" t="inlineStr">
        <is>
          <t>98822231</t>
        </is>
      </c>
    </row>
    <row r="790" ht="18" customHeight="1">
      <c r="A790" s="2" t="inlineStr">
        <is>
          <t>Badah Almutairi &lt;badah.h@icloud.com&gt;</t>
        </is>
      </c>
      <c r="B790" s="3" t="inlineStr">
        <is>
          <t>badah.h@icloud.com</t>
        </is>
      </c>
      <c r="C790" s="2" t="inlineStr"/>
      <c r="D790" s="2" t="inlineStr">
        <is>
          <t>Hello! How can we help you?  Report متطفلين حسب بلاغات من بلدك KW :   Sent from my iPhone</t>
        </is>
      </c>
      <c r="E790" s="4" t="inlineStr"/>
    </row>
    <row r="791" ht="18" customHeight="1">
      <c r="A791" s="5">
        <f>?utf-8?B?2KfZhNmA2YDZiNiq2YDZgNmK2YDZhg==?= &lt;a.al3nzyaq8@gmail.com&gt;</f>
        <v/>
      </c>
      <c r="B791" s="6" t="inlineStr">
        <is>
          <t>a.al3nzyaq8@gmail.com</t>
        </is>
      </c>
      <c r="C791" s="5">
        <f>?utf-8?Q?=D8=A7=D8=B1=D8=AC=D9=88_=D9=85=D8=B3=D8=AD_=D8=B1?=  =?utf-8?Q?=D9=82=D9=85=D9=8A_=D9=85=D9=86_=D9=85=D9=86=D9=88_?=  =?utf-8?Q?=D8=AF=D8=A7=D9=82_66837847?=</f>
        <v/>
      </c>
      <c r="D791" s="5" t="inlineStr">
        <is>
          <t>Hello! How can we help you?  Report رفعت سلام : 66837847   ‫أُرسلت من الـ iPhone‬</t>
        </is>
      </c>
      <c r="E791" s="7" t="inlineStr">
        <is>
          <t>66837847</t>
        </is>
      </c>
    </row>
    <row r="792" ht="18" customHeight="1">
      <c r="A792" s="2" t="inlineStr">
        <is>
          <t>Farraj Alajmii &lt;farrajalajmii@gmail.com&gt;</t>
        </is>
      </c>
      <c r="B792" s="3" t="inlineStr">
        <is>
          <t>farrajalajmii@gmail.com</t>
        </is>
      </c>
      <c r="C792" s="2" t="inlineStr"/>
      <c r="D792" s="2" t="inlineStr">
        <is>
          <t>Hello! How can we help you?  Report الحب الاول والاخي : 52555845   ‫أُرسلت من الـ iPhone‬</t>
        </is>
      </c>
      <c r="E792" s="4" t="inlineStr">
        <is>
          <t>52555845</t>
        </is>
      </c>
    </row>
    <row r="793" ht="18" customHeight="1">
      <c r="A793" s="5" t="inlineStr">
        <is>
          <t>doody ajmi &lt;dooooodyajmii@gmail.com&gt;</t>
        </is>
      </c>
      <c r="B793" s="6" t="inlineStr">
        <is>
          <t>dooooodyajmii@gmail.com</t>
        </is>
      </c>
      <c r="C793" s="5">
        <f>?utf-8?B?2KfYs9mFINi62YTYuCDYutmK2LEg2YXZgtio2YjZhCDZgdmK2Yc=?=</f>
        <v/>
      </c>
      <c r="D793" s="5" t="inlineStr">
        <is>
          <t>Hello! How can we help you?  Report حلو لقيمات و صب : 50553090   ‫أُرسلت من الـ iPhone‬</t>
        </is>
      </c>
      <c r="E793" s="7" t="inlineStr">
        <is>
          <t>50553090</t>
        </is>
      </c>
    </row>
    <row r="794" ht="18" customHeight="1">
      <c r="A794" s="2" t="inlineStr">
        <is>
          <t>saleh alhazaa &lt;alhaza3.q8@gmail.com&gt;</t>
        </is>
      </c>
      <c r="B794" s="3" t="inlineStr">
        <is>
          <t>alhaza3.q8@gmail.com</t>
        </is>
      </c>
      <c r="C794" s="2" t="inlineStr"/>
      <c r="D794" s="2" t="inlineStr">
        <is>
          <t>Hello! How can we help you?  Report صالحه : 55504742   ‫أُرسلت من الـ iPhone‬</t>
        </is>
      </c>
      <c r="E794" s="4" t="inlineStr">
        <is>
          <t>55504742</t>
        </is>
      </c>
    </row>
    <row r="795" ht="18" customHeight="1">
      <c r="A795" s="5" t="inlineStr">
        <is>
          <t>saleh alhazaa &lt;alhaza3.q8@gmail.com&gt;</t>
        </is>
      </c>
      <c r="B795" s="6" t="inlineStr">
        <is>
          <t>alhaza3.q8@gmail.com</t>
        </is>
      </c>
      <c r="C795" s="5" t="inlineStr"/>
      <c r="D795" s="5" t="inlineStr">
        <is>
          <t>Hello! How can we help you?  Report ☞7byYBy ♡ : 55504742   ‫أُرسلت من الـ iPhone‬</t>
        </is>
      </c>
      <c r="E795" s="7" t="inlineStr">
        <is>
          <t>55504742</t>
        </is>
      </c>
    </row>
    <row r="796" ht="18" customHeight="1">
      <c r="A796" s="2" t="inlineStr">
        <is>
          <t>saleh alhazaa &lt;alhaza3.q8@gmail.com&gt;</t>
        </is>
      </c>
      <c r="B796" s="3" t="inlineStr">
        <is>
          <t>alhaza3.q8@gmail.com</t>
        </is>
      </c>
      <c r="C796" s="2" t="inlineStr"/>
      <c r="D796" s="2" t="inlineStr">
        <is>
          <t>Hello! How can we help you?  Report صلووح البحول : 55504742   ‫أُرسلت من الـ iPhone‬</t>
        </is>
      </c>
      <c r="E796" s="4" t="inlineStr">
        <is>
          <t>55504742</t>
        </is>
      </c>
    </row>
    <row r="797" ht="18" customHeight="1">
      <c r="A797" s="5" t="inlineStr">
        <is>
          <t>saleh alhazaa &lt;alhaza3.q8@gmail.com&gt;</t>
        </is>
      </c>
      <c r="B797" s="6" t="inlineStr">
        <is>
          <t>alhaza3.q8@gmail.com</t>
        </is>
      </c>
      <c r="C797" s="5" t="inlineStr"/>
      <c r="D797" s="5" t="inlineStr">
        <is>
          <t>Hello! How can we help you?  Report صالح يويل حالي ❤️ : 55504742   ‫أُرسلت من الـ iPhone‬</t>
        </is>
      </c>
      <c r="E797" s="7" t="inlineStr">
        <is>
          <t>55504742</t>
        </is>
      </c>
    </row>
    <row r="798" ht="18" customHeight="1">
      <c r="A798" s="2" t="inlineStr">
        <is>
          <t>saleh alhazaa &lt;alhaza3.q8@gmail.com&gt;</t>
        </is>
      </c>
      <c r="B798" s="3" t="inlineStr">
        <is>
          <t>alhaza3.q8@gmail.com</t>
        </is>
      </c>
      <c r="C798" s="2" t="inlineStr"/>
      <c r="D798" s="2" t="inlineStr">
        <is>
          <t>Hello! How can we help you?  Report جراند مزس صلوح هزاع2 : 55504742   ‫أُرسلت من الـ iPhone‬</t>
        </is>
      </c>
      <c r="E798" s="4" t="inlineStr">
        <is>
          <t>55504742</t>
        </is>
      </c>
    </row>
    <row r="799" ht="18" customHeight="1">
      <c r="A799" s="5">
        <f>?utf-8?B?2YbZiNin2YEg2KfZhNmF2LfZitix2Yo=?= &lt;smsong65850505@gmail.com&gt;</f>
        <v/>
      </c>
      <c r="B799" s="6" t="inlineStr">
        <is>
          <t>smsong65850505@gmail.com</t>
        </is>
      </c>
      <c r="C799" s="5">
        <f>?utf-8?B?2YHZitmHINi62YTYtw==?=</f>
        <v/>
      </c>
      <c r="D799" s="5" t="inlineStr">
        <is>
          <t>Hello! How can we help you?  Report سايق نواف سالم المطيري دوام : 65850505   ‫أُرسلت من الـ iPhone‬</t>
        </is>
      </c>
      <c r="E799" s="7" t="inlineStr">
        <is>
          <t>65850505</t>
        </is>
      </c>
    </row>
    <row r="800" ht="18" customHeight="1">
      <c r="A800" s="2">
        <f>?utf-8?B?2LnYqNiv2KfZhNix2K3ZhdmGINmF2LPYp9i52K8=?= &lt;lawyer.alhuwaishel93@gmail.com&gt;</f>
        <v/>
      </c>
      <c r="B800" s="3" t="inlineStr">
        <is>
          <t>lawyer.alhuwaishel93@gmail.com</t>
        </is>
      </c>
      <c r="C800" s="2" t="inlineStr">
        <is>
          <t>Report</t>
        </is>
      </c>
      <c r="D800" s="2" t="inlineStr">
        <is>
          <t>Hello! How can we help you?  Report مص42 : 66650406   Sent from my iPhone</t>
        </is>
      </c>
      <c r="E800" s="4" t="inlineStr">
        <is>
          <t>66650406</t>
        </is>
      </c>
    </row>
    <row r="801" ht="18" customHeight="1">
      <c r="A801" s="5">
        <f>?utf-8?B?2LnYqNiv2KfZhNix2K3ZhdmGINmF2LPYp9i52K8=?= &lt;lawyer.alhuwaishel93@gmail.com&gt;</f>
        <v/>
      </c>
      <c r="B801" s="6" t="inlineStr">
        <is>
          <t>lawyer.alhuwaishel93@gmail.com</t>
        </is>
      </c>
      <c r="C801" s="5" t="inlineStr">
        <is>
          <t>Report</t>
        </is>
      </c>
      <c r="D801" s="5" t="inlineStr">
        <is>
          <t>Hello! How can we help you?  Report متابع المحامي : 66650406   Sent from my iPhone</t>
        </is>
      </c>
      <c r="E801" s="7" t="inlineStr">
        <is>
          <t>66650406</t>
        </is>
      </c>
    </row>
    <row r="802" ht="18" customHeight="1">
      <c r="A802" s="2">
        <f>?utf-8?B?2LnYqNiv2KfZhNix2K3ZhdmGINmF2LPYp9i52K8=?= &lt;lawyer.alhuwaishel93@gmail.com&gt;</f>
        <v/>
      </c>
      <c r="B802" s="3" t="inlineStr">
        <is>
          <t>lawyer.alhuwaishel93@gmail.com</t>
        </is>
      </c>
      <c r="C802" s="2" t="inlineStr">
        <is>
          <t>Report</t>
        </is>
      </c>
      <c r="D802" s="2" t="inlineStr">
        <is>
          <t>Hello! How can we help you?  Report محامي بند القار : 66650406   Sent from my iPhone</t>
        </is>
      </c>
      <c r="E802" s="4" t="inlineStr">
        <is>
          <t>66650406</t>
        </is>
      </c>
    </row>
    <row r="803" ht="18" customHeight="1">
      <c r="A803" s="5" t="inlineStr">
        <is>
          <t>Hessa Albannaq &lt;hessaalbannaq@gmail.com&gt;</t>
        </is>
      </c>
      <c r="B803" s="6" t="inlineStr">
        <is>
          <t>hessaalbannaq@gmail.com</t>
        </is>
      </c>
      <c r="C803" s="5" t="inlineStr"/>
      <c r="D803" s="5" t="inlineStr">
        <is>
          <t xml:space="preserve">Hello! How can we help you?  Report Sx : 51154321  Please remove this name if possible!!   ( Sx ) !   I don’t know why would someone save my number like this   </t>
        </is>
      </c>
      <c r="E803" s="7" t="inlineStr">
        <is>
          <t>51154321</t>
        </is>
      </c>
    </row>
    <row r="804" ht="18" customHeight="1">
      <c r="A804" s="2" t="inlineStr">
        <is>
          <t>Shooq alsuwait &lt;agleeh1@hotmail.com&gt;</t>
        </is>
      </c>
      <c r="B804" s="3" t="inlineStr">
        <is>
          <t>agleeh1@hotmail.com</t>
        </is>
      </c>
      <c r="C804" s="2">
        <f>?utf-8?B?2LbYsdmI2LHZiiAhISEhISEhIQ==?=</f>
        <v/>
      </c>
      <c r="D804" s="2" t="inlineStr">
        <is>
          <t xml:space="preserve">Hello! How can we help you?  Report الصليبية ق3 : 99190947  الرجاء ازالة هذا الاسم ( الصليبية قطعة 3 ) سبب مشاكل عائلية وارسل لكم اكثر من مرة دون استجابة ضروري ‫أُرسلت من الـ iPhone‬ </t>
        </is>
      </c>
      <c r="E804" s="4" t="inlineStr">
        <is>
          <t>99190947</t>
        </is>
      </c>
    </row>
    <row r="805" ht="18" customHeight="1">
      <c r="A805" s="5">
        <f>?utf-8?B?2LHYp9im2K8g2KfZhNi42YHZitix2Yo=?= &lt;raed635@yahoo.com&gt;</f>
        <v/>
      </c>
      <c r="B805" s="6" t="inlineStr">
        <is>
          <t>raed635@yahoo.com</t>
        </is>
      </c>
      <c r="C805" s="5">
        <f>?utf-8?B?2YfYsNinINmE2YrYsyDYp9iz2YXZiiA=?=</f>
        <v/>
      </c>
      <c r="D805" s="5" t="inlineStr">
        <is>
          <t>Hello! How can we help you?  Report ابو جزاع 8/4 بابين توصيل 221 : 98988993   ‫أُرسلت من الـ iPhone‬</t>
        </is>
      </c>
      <c r="E805" s="7" t="inlineStr">
        <is>
          <t>98988993</t>
        </is>
      </c>
    </row>
    <row r="806" ht="18" customHeight="1">
      <c r="A806" s="2">
        <f>?utf-8?B?2LHYp9im2K8g2KfZhNi42YHZitix2Yo=?= &lt;raed635@yahoo.com&gt;</f>
        <v/>
      </c>
      <c r="B806" s="3" t="inlineStr">
        <is>
          <t>raed635@yahoo.com</t>
        </is>
      </c>
      <c r="C806" s="2">
        <f>?utf-8?B?2YfYsNinINmE2YrYsyDYp9iz2YXZiiA=?=</f>
        <v/>
      </c>
      <c r="D806" s="2" t="inlineStr">
        <is>
          <t>Hello! How can we help you?  Report ابو جزاع 8/4 بابين : 98988993   ‫أُرسلت من الـ iPhone‬</t>
        </is>
      </c>
      <c r="E806" s="4" t="inlineStr">
        <is>
          <t>98988993</t>
        </is>
      </c>
    </row>
    <row r="807" ht="18" customHeight="1">
      <c r="A807" s="5">
        <f>?utf-8?B?2LHYp9im2K8g2KfZhNi42YHZitix2Yo=?= &lt;raed635@yahoo.com&gt;</f>
        <v/>
      </c>
      <c r="B807" s="6" t="inlineStr">
        <is>
          <t>raed635@yahoo.com</t>
        </is>
      </c>
      <c r="C807" s="5">
        <f>?utf-8?B?2YfYsNinINmE2YrYsyDYp9iz2YXZiiA=?=</f>
        <v/>
      </c>
      <c r="D807" s="5" t="inlineStr">
        <is>
          <t>Hello! How can we help you?  Report طلب 8_2006 للبدل ف المطلاع موقع : 98988993   ‫أُرسلت من الـ iPhone‬</t>
        </is>
      </c>
      <c r="E807" s="7" t="inlineStr">
        <is>
          <t>98988993</t>
        </is>
      </c>
    </row>
    <row r="808" ht="18" customHeight="1">
      <c r="A808" s="2">
        <f>?utf-8?B?2LHYp9im2K8g2KfZhNi42YHZitix2Yo=?= &lt;raed635@yahoo.com&gt;</f>
        <v/>
      </c>
      <c r="B808" s="3" t="inlineStr">
        <is>
          <t>raed635@yahoo.com</t>
        </is>
      </c>
      <c r="C808" s="2">
        <f>?utf-8?B?2YfYsNinINmE2YrYsyDYp9iz2YXZiiA=?=</f>
        <v/>
      </c>
      <c r="D808" s="2" t="inlineStr">
        <is>
          <t>Hello! How can we help you?  Report ابو هزاع طلب 2006 عاوز المطلاع : 98988993   ‫أُرسلت من الـ iPhone‬</t>
        </is>
      </c>
      <c r="E808" s="4" t="inlineStr">
        <is>
          <t>98988993</t>
        </is>
      </c>
    </row>
    <row r="809" ht="18" customHeight="1">
      <c r="A809" s="5">
        <f>?utf-8?B?2LHYp9im2K8g2KfZhNi42YHZitix2Yo=?= &lt;raed635@yahoo.com&gt;</f>
        <v/>
      </c>
      <c r="B809" s="6" t="inlineStr">
        <is>
          <t>raed635@yahoo.com</t>
        </is>
      </c>
      <c r="C809" s="5">
        <f>?utf-8?B?2YfYsNinINmE2YrYsyDYp9iz2YXZiiA=?=</f>
        <v/>
      </c>
      <c r="D809" s="5" t="inlineStr">
        <is>
          <t>Hello! How can we help you?  Report طلب 2006 : 98988993   ‫أُرسلت من الـ iPhone‬</t>
        </is>
      </c>
      <c r="E809" s="7" t="inlineStr">
        <is>
          <t>98988993</t>
        </is>
      </c>
    </row>
    <row r="810" ht="18" customHeight="1">
      <c r="A810" s="2">
        <f>?utf-8?B?2LHYp9im2K8g2KfZhNi42YHZitix2Yo=?= &lt;raed635@yahoo.com&gt;</f>
        <v/>
      </c>
      <c r="B810" s="3" t="inlineStr">
        <is>
          <t>raed635@yahoo.com</t>
        </is>
      </c>
      <c r="C810" s="2">
        <f>?utf-8?B?2YfYsNinINmE2YrYsyDYp9iz2YXZiiA=?=</f>
        <v/>
      </c>
      <c r="D810" s="2" t="inlineStr">
        <is>
          <t>Hello! How can we help you?  Report 2006ش8 : 98988993   ‫أُرسلت من الـ iPhone‬</t>
        </is>
      </c>
      <c r="E810" s="4" t="inlineStr">
        <is>
          <t>98988993</t>
        </is>
      </c>
    </row>
    <row r="811" ht="18" customHeight="1">
      <c r="A811" s="5">
        <f>?utf-8?B?2LHYp9im2K8g2KfZhNi42YHZitix2Yo=?= &lt;raed635@yahoo.com&gt;</f>
        <v/>
      </c>
      <c r="B811" s="6" t="inlineStr">
        <is>
          <t>raed635@yahoo.com</t>
        </is>
      </c>
      <c r="C811" s="5">
        <f>?utf-8?B?2YfYsNinINmE2YrYsyDYp9iz2YXZiiA=?=</f>
        <v/>
      </c>
      <c r="D811" s="5" t="inlineStr">
        <is>
          <t>Hello! How can we help you?  Report ابو هزاع طلب 2006 /8 يبي موع من ان8 وصاعد : 98988993   ‫أُرسلت من الـ iPhone‬</t>
        </is>
      </c>
      <c r="E811" s="7" t="inlineStr">
        <is>
          <t>98988993</t>
        </is>
      </c>
    </row>
    <row r="812" ht="18" customHeight="1">
      <c r="A812" s="2">
        <f>?utf-8?B?2LHYp9im2K8g2KfZhNi42YHZitix2Yo=?= &lt;raed635@yahoo.com&gt;</f>
        <v/>
      </c>
      <c r="B812" s="3" t="inlineStr">
        <is>
          <t>raed635@yahoo.com</t>
        </is>
      </c>
      <c r="C812" s="2">
        <f>?utf-8?B?2YfYsNinINmE2YrYsyDYp9iz2YXZiiA=?=</f>
        <v/>
      </c>
      <c r="D812" s="2" t="inlineStr">
        <is>
          <t>Hello! How can we help you?  Report طلب 2006 عايز بدل : 98988993   ‫أُرسلت من الـ iPhone‬</t>
        </is>
      </c>
      <c r="E812" s="4" t="inlineStr">
        <is>
          <t>98988993</t>
        </is>
      </c>
    </row>
    <row r="813" ht="18" customHeight="1">
      <c r="A813" s="5">
        <f>?utf-8?B?2LHYp9im2K8g2KfZhNi42YHZitix2Yo=?= &lt;raed635@yahoo.com&gt;</f>
        <v/>
      </c>
      <c r="B813" s="6" t="inlineStr">
        <is>
          <t>raed635@yahoo.com</t>
        </is>
      </c>
      <c r="C813" s="5">
        <f>?utf-8?B?2YfYsNinINmE2YrYsyDYp9iz2YXZiiA=?=</f>
        <v/>
      </c>
      <c r="D813" s="5" t="inlineStr">
        <is>
          <t>Hello! How can we help you?  Report شيماء بعتتهولى علشان الأرض اللى : 98988993   ‫أُرسلت من الـ iPhone‬</t>
        </is>
      </c>
      <c r="E813" s="7" t="inlineStr">
        <is>
          <t>98988993</t>
        </is>
      </c>
    </row>
    <row r="814" ht="18" customHeight="1">
      <c r="A814" s="2">
        <f>?utf-8?B?2LHYp9im2K8g2KfZhNi42YHZitix2Yo=?= &lt;raed635@yahoo.com&gt;</f>
        <v/>
      </c>
      <c r="B814" s="3" t="inlineStr">
        <is>
          <t>raed635@yahoo.com</t>
        </is>
      </c>
      <c r="C814" s="2">
        <f>?utf-8?B?2YfYsNinINmE2YrYsyDYp9iz2YXZiiA=?=</f>
        <v/>
      </c>
      <c r="D814" s="2" t="inlineStr">
        <is>
          <t>Hello! How can we help you?  Report طلب 2006 عايز موقع : 98988993   ‫أُرسلت من الـ iPhone‬</t>
        </is>
      </c>
      <c r="E814" s="4" t="inlineStr">
        <is>
          <t>98988993</t>
        </is>
      </c>
    </row>
    <row r="815" ht="18" customHeight="1">
      <c r="A815" s="5" t="inlineStr">
        <is>
          <t>Reem Alhashash &lt;a.reem.n2@gmail.com&gt;</t>
        </is>
      </c>
      <c r="B815" s="6" t="inlineStr">
        <is>
          <t>a.reem.n2@gmail.com</t>
        </is>
      </c>
      <c r="C815" s="5">
        <f>?utf-8?B?2K3YsNmB?=</f>
        <v/>
      </c>
      <c r="D815" s="5" t="inlineStr">
        <is>
          <t>Hello! How can we help you?  Report أبوسالم (صباح السالم ق9)- : 66690460   ‫حذف للخصوصية</t>
        </is>
      </c>
      <c r="E815" s="7" t="inlineStr">
        <is>
          <t>66690460</t>
        </is>
      </c>
    </row>
    <row r="816" ht="18" customHeight="1">
      <c r="A816" s="2">
        <f>?utf-8?B?2YHZh9ivINin2YTZhdi32YrYsdmK?= &lt;alyom732@gmail.com&gt;</f>
        <v/>
      </c>
      <c r="B816" s="3" t="inlineStr">
        <is>
          <t>alyom732@gmail.com</t>
        </is>
      </c>
      <c r="C816" s="2" t="inlineStr">
        <is>
          <t>Re: Bad name</t>
        </is>
      </c>
      <c r="D816" s="2" t="inlineStr">
        <is>
          <t xml:space="preserve">I want to delete a bad number  ‫أُرسلت من الـ iPhone‬  &gt; ‫في 20‏/10‏/2025 الساعة 5:20 م، كتب/كتبت ‏فهد المطيري ‏&lt;alyom732@gmail.com&gt;:‬ &gt;  &gt; ﻿ &gt; Hello! How can we help you? &gt;  &gt; Report بلبولج حلو : 50555383 &gt;  &gt;  &gt;  &gt; ‫أُرسلت من الـ iPhone‬ </t>
        </is>
      </c>
      <c r="E816" s="4" t="inlineStr">
        <is>
          <t>50555383</t>
        </is>
      </c>
    </row>
    <row r="817" ht="18" customHeight="1">
      <c r="A817" s="5">
        <f>?utf-8?B?2YHZh9ivINin2YTZhdi32YrYsdmK?= &lt;alyom732@gmail.com&gt;</f>
        <v/>
      </c>
      <c r="B817" s="6" t="inlineStr">
        <is>
          <t>alyom732@gmail.com</t>
        </is>
      </c>
      <c r="C817" s="5" t="inlineStr">
        <is>
          <t xml:space="preserve">Because bad names </t>
        </is>
      </c>
      <c r="D817" s="5" t="inlineStr">
        <is>
          <t>Hello! How can we help you?  Report بلبولج حلو : 50555383    ‫أُرسلت من الـ iPhone‬</t>
        </is>
      </c>
      <c r="E817" s="7" t="inlineStr">
        <is>
          <t>50555383</t>
        </is>
      </c>
    </row>
    <row r="818" ht="18" customHeight="1">
      <c r="A818" s="2">
        <f>?utf-8?B?2YHZh9ivINin2YTZhdi32YrYsdmK?= &lt;alyom732@gmail.com&gt;</f>
        <v/>
      </c>
      <c r="B818" s="3" t="inlineStr">
        <is>
          <t>alyom732@gmail.com</t>
        </is>
      </c>
      <c r="C818" s="2" t="inlineStr">
        <is>
          <t>Bad name</t>
        </is>
      </c>
      <c r="D818" s="2" t="inlineStr">
        <is>
          <t>Hello! How can we help you?  Report بلبولج حلو : 50555383    ‫أُرسلت من الـ iPhone‬</t>
        </is>
      </c>
      <c r="E818" s="4" t="inlineStr">
        <is>
          <t>50555383</t>
        </is>
      </c>
    </row>
    <row r="819" ht="18" customHeight="1">
      <c r="A819" s="5" t="inlineStr">
        <is>
          <t>Mariam Mohsen &lt;maryo0omys96s@icloud.com&gt;</t>
        </is>
      </c>
      <c r="B819" s="6" t="inlineStr">
        <is>
          <t>maryo0omys96s@icloud.com</t>
        </is>
      </c>
      <c r="C819" s="5" t="inlineStr"/>
      <c r="D819" s="5" t="inlineStr">
        <is>
          <t>Hello! How can we help you?  Report مريم ابراهيم سرحان : 56566603    ‫أُرسلت من الـ iPhone‬</t>
        </is>
      </c>
      <c r="E819" s="7" t="inlineStr">
        <is>
          <t>56566603</t>
        </is>
      </c>
    </row>
    <row r="820" ht="18" customHeight="1">
      <c r="A820" s="2" t="inlineStr">
        <is>
          <t>Abdulaziz Alsharif &lt;kwpromax@gmail.com&gt;</t>
        </is>
      </c>
      <c r="B820" s="3" t="inlineStr">
        <is>
          <t>kwpromax@gmail.com</t>
        </is>
      </c>
      <c r="C820" s="2" t="inlineStr"/>
      <c r="D820" s="2" t="inlineStr">
        <is>
          <t>Hello! How can we help you?  Report القصور : 99281317   ‫أُرسلت من الـ iPhone‬</t>
        </is>
      </c>
      <c r="E820" s="4" t="inlineStr">
        <is>
          <t>99281317</t>
        </is>
      </c>
    </row>
    <row r="821" ht="18" customHeight="1">
      <c r="A821" s="5" t="inlineStr">
        <is>
          <t>"Y. Almutairi" &lt;yalmutairi22@gmail.com&gt;</t>
        </is>
      </c>
      <c r="B821" s="6" t="inlineStr">
        <is>
          <t>yalmutairi22@gmail.com</t>
        </is>
      </c>
      <c r="C821" s="5" t="inlineStr"/>
      <c r="D821" s="5" t="inlineStr">
        <is>
          <t xml:space="preserve">فيه خدمه منع اعلانات ؟ </t>
        </is>
      </c>
      <c r="E821" s="7" t="inlineStr"/>
    </row>
    <row r="822" ht="18" customHeight="1">
      <c r="A822" s="2" t="inlineStr">
        <is>
          <t>Omar Almatar &lt;ofm636x@gmail.com&gt;</t>
        </is>
      </c>
      <c r="B822" s="3" t="inlineStr">
        <is>
          <t>ofm636x@gmail.com</t>
        </is>
      </c>
      <c r="C822" s="2">
        <f>?utf-8?B?2LnYp9is2YQ6INmK2LHYrNmJINin2KrYrtin2LAg2KfZhNin2Kw=?=  =?utf-8?B?2LHYp9ihINin2YTZhNin2LLZhQ==?=</f>
        <v/>
      </c>
      <c r="D822" s="2" t="inlineStr">
        <is>
          <t>Hello! How can we help you?  Report العدان ق6 ش21 م11 : 95500252  الرجاء ازالة العنوان من البرنامج لانتهاكه خصوصيتي</t>
        </is>
      </c>
      <c r="E822" s="4" t="inlineStr">
        <is>
          <t>95500252</t>
        </is>
      </c>
    </row>
    <row r="823" ht="18" customHeight="1">
      <c r="A823" s="5" t="inlineStr">
        <is>
          <t>life life &lt;mais6655@gmail.com&gt;</t>
        </is>
      </c>
      <c r="B823" s="6" t="inlineStr">
        <is>
          <t>mais6655@gmail.com</t>
        </is>
      </c>
      <c r="C823" s="5">
        <f>?utf-8?B?2LHZgtmFINmF2LLYudisINiq2YjYstmK2Lkg2KfZhNmC2LHYotmG?=  =?utf-8?B?INin2YTZg9ix2YrZhQ==?=</f>
        <v/>
      </c>
      <c r="D823" s="5" t="inlineStr">
        <is>
          <t xml:space="preserve">Hello! How can we help you?  Report متطفلين حسب بلاغات من بلدك KW :  </t>
        </is>
      </c>
      <c r="E823" s="7" t="inlineStr"/>
    </row>
    <row r="824" ht="18" customHeight="1">
      <c r="A824" s="2" t="inlineStr">
        <is>
          <t>Dalal Alajmi &lt;dalalalajmi84@icloud.com&gt;</t>
        </is>
      </c>
      <c r="B824" s="3" t="inlineStr">
        <is>
          <t>dalalalajmi84@icloud.com</t>
        </is>
      </c>
      <c r="C824" s="2">
        <f>?utf-8?B?2KfZhNiz2YTYp9mFINmK2LHYrNmJINmF2LPYrSDYp9mE2LnZhtmI?=  =?utf-8?B?2KfZhiA=?=</f>
        <v/>
      </c>
      <c r="D824" s="2" t="inlineStr">
        <is>
          <t>Hello! How can we help you?  Report مبارك الكبير ق 3 ش12 م51 : 50779366   ‫أُرسلت من الـ iPhone‬</t>
        </is>
      </c>
      <c r="E824" s="4" t="inlineStr">
        <is>
          <t>50779366</t>
        </is>
      </c>
    </row>
    <row r="825" ht="18" customHeight="1">
      <c r="A825" s="5" t="inlineStr">
        <is>
          <t>YOUSEF ALENEZI &lt;turkish_q8@icloud.com&gt;</t>
        </is>
      </c>
      <c r="B825" s="6" t="inlineStr">
        <is>
          <t>turkish_q8@icloud.com</t>
        </is>
      </c>
      <c r="C825" s="5" t="inlineStr"/>
      <c r="D825" s="5" t="inlineStr">
        <is>
          <t>Hello! How can we help you?  Report يوسف العنزى فنان- : 97977577   Sent from my iPhone</t>
        </is>
      </c>
      <c r="E825" s="7" t="inlineStr">
        <is>
          <t>97977577</t>
        </is>
      </c>
    </row>
    <row r="826" ht="18" customHeight="1">
      <c r="A826" s="2" t="inlineStr">
        <is>
          <t>YOUSEF ALENEZI &lt;turkish_q8@icloud.com&gt;</t>
        </is>
      </c>
      <c r="B826" s="3" t="inlineStr">
        <is>
          <t>turkish_q8@icloud.com</t>
        </is>
      </c>
      <c r="C826" s="2" t="inlineStr"/>
      <c r="D826" s="2" t="inlineStr">
        <is>
          <t>Hello! How can we help you?  Report يوسف-العنزي مغني : 97977577   Sent from my iPhone</t>
        </is>
      </c>
      <c r="E826" s="4" t="inlineStr">
        <is>
          <t>97977577</t>
        </is>
      </c>
    </row>
    <row r="827" ht="18" customHeight="1">
      <c r="A827" s="5" t="inlineStr">
        <is>
          <t>Noor Alothimeen &lt;Dooy29@hotmail.com&gt;</t>
        </is>
      </c>
      <c r="B827" s="6" t="inlineStr">
        <is>
          <t>Dooy29@hotmail.com</t>
        </is>
      </c>
      <c r="C827" s="5">
        <f>?windows-1256?B?zdDdIMfT4+0g?=</f>
        <v/>
      </c>
      <c r="D827" s="5" t="inlineStr">
        <is>
          <t xml:space="preserve">������ �����  ��� ����� ����� �+96590908976 ����� ���� ���� ����� ������� �� ����� ������ ����� ���� ��ޔ ���� ����� �� ����� ����� �� ��� ������ �� ��������.  ���� ����� ����� ����� ����� ��� ���� ������ ��������.  �� ���� �����ɡ ���  </t>
        </is>
      </c>
      <c r="E827" s="7" t="inlineStr">
        <is>
          <t>90908976</t>
        </is>
      </c>
    </row>
    <row r="828" ht="18" customHeight="1">
      <c r="A828" s="2">
        <f>?utf-8?B?2LPZhNi32KfZhiDYp9mE2YjYudmE2KfZhg==?= &lt;sultanwlan27@gmail.com&gt;</f>
        <v/>
      </c>
      <c r="B828" s="3" t="inlineStr">
        <is>
          <t>sultanwlan27@gmail.com</t>
        </is>
      </c>
      <c r="C828" s="2" t="inlineStr"/>
      <c r="D828" s="2" t="inlineStr">
        <is>
          <t>Hello! How can we help you?  Report . زينه البنات : 90903250   ‫أُرسلت من الـ iPhone‬</t>
        </is>
      </c>
      <c r="E828" s="4" t="inlineStr">
        <is>
          <t>90903250</t>
        </is>
      </c>
    </row>
    <row r="829" ht="18" customHeight="1">
      <c r="A829" s="5" t="inlineStr">
        <is>
          <t>moshkan taqi &lt;moshkantaqi@gmail.com&gt;</t>
        </is>
      </c>
      <c r="B829" s="6" t="inlineStr">
        <is>
          <t>moshkantaqi@gmail.com</t>
        </is>
      </c>
      <c r="C829" s="5" t="inlineStr"/>
      <c r="D829" s="5" t="inlineStr">
        <is>
          <t>Hello! How can we help you?  Report مشقان تقي : 97266269  Please cancel the name with number  Regards,  Moshkan Taqi</t>
        </is>
      </c>
      <c r="E829" s="7" t="inlineStr">
        <is>
          <t>97266269</t>
        </is>
      </c>
    </row>
    <row r="830" ht="18" customHeight="1">
      <c r="A830" s="2" t="inlineStr">
        <is>
          <t>moshkan taqi &lt;moshkantaqi@gmail.com&gt;</t>
        </is>
      </c>
      <c r="B830" s="3" t="inlineStr">
        <is>
          <t>moshkantaqi@gmail.com</t>
        </is>
      </c>
      <c r="C830" s="2">
        <f>?utf-8?B?2LfZhNioINit2LDZgSDYsdmC2YU=?=</f>
        <v/>
      </c>
      <c r="D830" s="2" t="inlineStr">
        <is>
          <t>ممكن حذف اسم مشقان تقي أو مشقان  الموجود على رقم 97269269 علماً بانه لديه اشتراك خدمة بلوك على هذا الرقم بس من خلال الاسم الرقم يظهر .  Regards,  Moshkan Taqi</t>
        </is>
      </c>
      <c r="E830" s="4" t="inlineStr">
        <is>
          <t>97269269</t>
        </is>
      </c>
    </row>
    <row r="831" ht="18" customHeight="1">
      <c r="A831" s="5" t="inlineStr">
        <is>
          <t>moshkan taqi &lt;moshkantaqi@gmail.com&gt;</t>
        </is>
      </c>
      <c r="B831" s="6" t="inlineStr">
        <is>
          <t>moshkantaqi@gmail.com</t>
        </is>
      </c>
      <c r="C831" s="5" t="inlineStr">
        <is>
          <t xml:space="preserve">Pleased remove my name with my number because I already have annual membership with you 6 kd to hide my number now it shows with my name please cancel all the name with this number </t>
        </is>
      </c>
      <c r="D831" s="5" t="inlineStr">
        <is>
          <t>Hello! How can we help you?  Report مشقان تقي : 97266269   Regards,  Moshkan Taqi</t>
        </is>
      </c>
      <c r="E831" s="7" t="inlineStr">
        <is>
          <t>97266269</t>
        </is>
      </c>
    </row>
    <row r="832" ht="18" customHeight="1">
      <c r="A832" s="2" t="inlineStr">
        <is>
          <t>moshkan taqi &lt;moshkantaqi@gmail.com&gt;</t>
        </is>
      </c>
      <c r="B832" s="3" t="inlineStr">
        <is>
          <t>moshkantaqi@gmail.com</t>
        </is>
      </c>
      <c r="C832" s="2" t="inlineStr">
        <is>
          <t>Please remove my name with number</t>
        </is>
      </c>
      <c r="D832" s="2" t="inlineStr">
        <is>
          <t>Hello! How can we help you?  Report مشقان تقي - : 97269269   Regards,  Moshkan Taqi</t>
        </is>
      </c>
      <c r="E832" s="4" t="inlineStr">
        <is>
          <t>97269269</t>
        </is>
      </c>
    </row>
    <row r="833" ht="18" customHeight="1">
      <c r="A833" s="5" t="inlineStr">
        <is>
          <t>moshkan taqi &lt;moshkantaqi@gmail.com&gt;</t>
        </is>
      </c>
      <c r="B833" s="6" t="inlineStr">
        <is>
          <t>moshkantaqi@gmail.com</t>
        </is>
      </c>
      <c r="C833" s="5" t="inlineStr">
        <is>
          <t>Please remove my name with number</t>
        </is>
      </c>
      <c r="D833" s="5" t="inlineStr">
        <is>
          <t>Hello! How can we help you?  Report مشقان تقي جلستان : 97269269   Regards,  Moshkan Taqi</t>
        </is>
      </c>
      <c r="E833" s="7" t="inlineStr">
        <is>
          <t>97269269</t>
        </is>
      </c>
    </row>
    <row r="834" ht="18" customHeight="1">
      <c r="A834" s="2" t="inlineStr">
        <is>
          <t>moshkan taqi &lt;moshkantaqi@gmail.com&gt;</t>
        </is>
      </c>
      <c r="B834" s="3" t="inlineStr">
        <is>
          <t>moshkantaqi@gmail.com</t>
        </is>
      </c>
      <c r="C834" s="2" t="inlineStr">
        <is>
          <t xml:space="preserve">Please remove my name with number </t>
        </is>
      </c>
      <c r="D834" s="2" t="inlineStr">
        <is>
          <t>Hello! How can we help you?  Report مشقان تقي : 97269269   Regards,  Moshkan Taqi</t>
        </is>
      </c>
      <c r="E834" s="4" t="inlineStr">
        <is>
          <t>97269269</t>
        </is>
      </c>
    </row>
    <row r="835" ht="18" customHeight="1">
      <c r="A835" s="5" t="inlineStr">
        <is>
          <t>moshkan taqi &lt;moshkantaqi@gmail.com&gt;</t>
        </is>
      </c>
      <c r="B835" s="6" t="inlineStr">
        <is>
          <t>moshkantaqi@gmail.com</t>
        </is>
      </c>
      <c r="C835" s="5" t="inlineStr">
        <is>
          <t xml:space="preserve">Please remove the name with number </t>
        </is>
      </c>
      <c r="D835" s="5" t="inlineStr">
        <is>
          <t>Hello! How can we help you?  Report مشقان تقي : 97266269   Regards,  Moshkan Taqi</t>
        </is>
      </c>
      <c r="E835" s="7" t="inlineStr">
        <is>
          <t>97266269</t>
        </is>
      </c>
    </row>
    <row r="836" ht="18" customHeight="1">
      <c r="A836" s="2" t="inlineStr">
        <is>
          <t>moshkan taqi &lt;moshkantaqi@gmail.com&gt;</t>
        </is>
      </c>
      <c r="B836" s="3" t="inlineStr">
        <is>
          <t>moshkantaqi@gmail.com</t>
        </is>
      </c>
      <c r="C836" s="2" t="inlineStr">
        <is>
          <t>Remove my number with name</t>
        </is>
      </c>
      <c r="D836" s="2" t="inlineStr">
        <is>
          <t>Hello! How can we help you?  Report مشقان تقي : 97266269   Regards,  Moshkan Taqi</t>
        </is>
      </c>
      <c r="E836" s="4" t="inlineStr">
        <is>
          <t>97266269</t>
        </is>
      </c>
    </row>
    <row r="837" ht="18" customHeight="1">
      <c r="A837" s="5" t="inlineStr">
        <is>
          <t>moshkan taqi &lt;moshkantaqi@gmail.com&gt;</t>
        </is>
      </c>
      <c r="B837" s="6" t="inlineStr">
        <is>
          <t>moshkantaqi@gmail.com</t>
        </is>
      </c>
      <c r="C837" s="5" t="inlineStr">
        <is>
          <t>I want to remove my name from the list</t>
        </is>
      </c>
      <c r="D837" s="5" t="inlineStr">
        <is>
          <t>Hello! How can we help you?  Report مشقان التقي فردريك- : 97269269   Regards,  Moshkan Taqi</t>
        </is>
      </c>
      <c r="E837" s="7" t="inlineStr">
        <is>
          <t>97269269</t>
        </is>
      </c>
    </row>
    <row r="838" ht="18" customHeight="1">
      <c r="A838" s="2" t="inlineStr">
        <is>
          <t>Abdullah Almutairi &lt;v9_27@hotmail.com&gt;</t>
        </is>
      </c>
      <c r="B838" s="3" t="inlineStr">
        <is>
          <t>v9_27@hotmail.com</t>
        </is>
      </c>
      <c r="C838" s="2" t="inlineStr"/>
      <c r="D838" s="2" t="inlineStr">
        <is>
          <t xml:space="preserve">Hello! How can we help you?  الاسم غير صحيح  Report عبدالله مبارك مضخه : 97777927  Sent from my iPhone </t>
        </is>
      </c>
      <c r="E838" s="4" t="inlineStr">
        <is>
          <t>97777927</t>
        </is>
      </c>
    </row>
    <row r="839" ht="18" customHeight="1">
      <c r="A839" s="5" t="inlineStr">
        <is>
          <t>Abdullah Almutairi &lt;v9_27@hotmail.com&gt;</t>
        </is>
      </c>
      <c r="B839" s="6" t="inlineStr">
        <is>
          <t>v9_27@hotmail.com</t>
        </is>
      </c>
      <c r="C839" s="5" t="inlineStr"/>
      <c r="D839" s="5" t="inlineStr">
        <is>
          <t xml:space="preserve">Hello! How can we help you?  الاسم غير صحيح  Report فواز77777 : 97777927  Sent from my iPhone </t>
        </is>
      </c>
      <c r="E839" s="7" t="inlineStr">
        <is>
          <t>97777927</t>
        </is>
      </c>
    </row>
    <row r="840" ht="18" customHeight="1">
      <c r="A840" s="2" t="inlineStr">
        <is>
          <t>Abdullah Almutairi &lt;v9_27@hotmail.com&gt;</t>
        </is>
      </c>
      <c r="B840" s="3" t="inlineStr">
        <is>
          <t>v9_27@hotmail.com</t>
        </is>
      </c>
      <c r="C840" s="2" t="inlineStr"/>
      <c r="D840" s="2" t="inlineStr">
        <is>
          <t xml:space="preserve">Hello! How can we help you?  الاسم غطر صحيح  Report علي الرزيقي- : 97777927  Sent from my iPhone </t>
        </is>
      </c>
      <c r="E840" s="4" t="inlineStr">
        <is>
          <t>97777927</t>
        </is>
      </c>
    </row>
    <row r="841" ht="18" customHeight="1">
      <c r="A841" s="5" t="inlineStr">
        <is>
          <t>Abdullah Almutairi &lt;v9_27@hotmail.com&gt;</t>
        </is>
      </c>
      <c r="B841" s="6" t="inlineStr">
        <is>
          <t>v9_27@hotmail.com</t>
        </is>
      </c>
      <c r="C841" s="5" t="inlineStr"/>
      <c r="D841" s="5" t="inlineStr">
        <is>
          <t xml:space="preserve">Hello! How can we help you?  الاسم غير صحيح  Report علي- : 97777927  Sent from my iPhone </t>
        </is>
      </c>
      <c r="E841" s="7" t="inlineStr">
        <is>
          <t>97777927</t>
        </is>
      </c>
    </row>
    <row r="842" ht="18" customHeight="1">
      <c r="A842" s="2" t="inlineStr">
        <is>
          <t>Abdullah Almutairi &lt;v9_27@hotmail.com&gt;</t>
        </is>
      </c>
      <c r="B842" s="3" t="inlineStr">
        <is>
          <t>v9_27@hotmail.com</t>
        </is>
      </c>
      <c r="C842" s="2" t="inlineStr"/>
      <c r="D842" s="2" t="inlineStr">
        <is>
          <t xml:space="preserve">Hello! How can we help you?  الاسم غير صحيح  Report علي الرزيقي - : 97777927  Sent from my iPhone </t>
        </is>
      </c>
      <c r="E842" s="4" t="inlineStr">
        <is>
          <t>97777927</t>
        </is>
      </c>
    </row>
    <row r="843" ht="18" customHeight="1">
      <c r="A843" s="5" t="inlineStr">
        <is>
          <t>Abdullah Almutairi &lt;v9_27@hotmail.com&gt;</t>
        </is>
      </c>
      <c r="B843" s="6" t="inlineStr">
        <is>
          <t>v9_27@hotmail.com</t>
        </is>
      </c>
      <c r="C843" s="5" t="inlineStr"/>
      <c r="D843" s="5" t="inlineStr">
        <is>
          <t xml:space="preserve">Hello! How can we help you?  الاسم غير صحيح  Report الرزيجي- : 97777927  Sent from my iPhone </t>
        </is>
      </c>
      <c r="E843" s="7" t="inlineStr">
        <is>
          <t>97777927</t>
        </is>
      </c>
    </row>
    <row r="844" ht="18" customHeight="1">
      <c r="A844" s="2" t="inlineStr">
        <is>
          <t>Abdullah Almutairi &lt;v9_27@hotmail.com&gt;</t>
        </is>
      </c>
      <c r="B844" s="3" t="inlineStr">
        <is>
          <t>v9_27@hotmail.com</t>
        </is>
      </c>
      <c r="C844" s="2" t="inlineStr"/>
      <c r="D844" s="2" t="inlineStr">
        <is>
          <t xml:space="preserve">Hello! How can we help you?  Report علي- : 97777927  Sent from my iPhone </t>
        </is>
      </c>
      <c r="E844" s="4" t="inlineStr">
        <is>
          <t>97777927</t>
        </is>
      </c>
    </row>
    <row r="845" ht="18" customHeight="1">
      <c r="A845" s="5">
        <f>?utf-8?B?2YXYt9mE2YIg2KfZhNiz2YjZiti3?= &lt;motlag.alswa6@icloud.com&gt;</f>
        <v/>
      </c>
      <c r="B845" s="6" t="inlineStr">
        <is>
          <t>motlag.alswa6@icloud.com</t>
        </is>
      </c>
      <c r="C845" s="5">
        <f>?utf-8?B?2KfZhNix2KzYp9ihINmF2LPYrSDYp9mE2KfYs9mFINmI2LDZhNmD?=  =?utf-8?B?INmE2YjYrNmI2K8g2KfYs9mFINi62YrYsSDZhNin2KbZgiDZiNi0?=  =?utf-8?B?2YPYsdinIA==?=</f>
        <v/>
      </c>
      <c r="D845" s="5" t="inlineStr">
        <is>
          <t>Hello! How can we help you?  Report مطلق نايف الصلبي- : 66115254   ‫أُرسلت من الـ iPhone‬</t>
        </is>
      </c>
      <c r="E845" s="7" t="inlineStr">
        <is>
          <t>66115254</t>
        </is>
      </c>
    </row>
    <row r="846" ht="18" customHeight="1">
      <c r="A846" s="2" t="inlineStr">
        <is>
          <t>Mnsor Alfhd &lt;mnsoralfhd@gmail.com&gt;</t>
        </is>
      </c>
      <c r="B846" s="3" t="inlineStr">
        <is>
          <t>mnsoralfhd@gmail.com</t>
        </is>
      </c>
      <c r="C846" s="2" t="inlineStr"/>
      <c r="D846" s="2" t="inlineStr">
        <is>
          <t>Hello! How can we help you?  Report تاهو خياط : 96072121   ‫أُرسلت من الـ iPhone‬</t>
        </is>
      </c>
      <c r="E846" s="4" t="inlineStr">
        <is>
          <t>96072121</t>
        </is>
      </c>
    </row>
    <row r="847" ht="18" customHeight="1">
      <c r="A847" s="5" t="inlineStr">
        <is>
          <t>Mnsor Alfhd &lt;mnsoralfhd@gmail.com&gt;</t>
        </is>
      </c>
      <c r="B847" s="6" t="inlineStr">
        <is>
          <t>mnsoralfhd@gmail.com</t>
        </is>
      </c>
      <c r="C847" s="5" t="inlineStr"/>
      <c r="D847" s="5" t="inlineStr">
        <is>
          <t>Hello! How can we help you?  Report خياط بالجمله يفصل الموديلات بالكميات : 96072121   ‫أُرسلت من الـ iPhone‬</t>
        </is>
      </c>
      <c r="E847" s="7" t="inlineStr">
        <is>
          <t>96072121</t>
        </is>
      </c>
    </row>
    <row r="848" ht="18" customHeight="1">
      <c r="A848" s="2" t="inlineStr">
        <is>
          <t>Mnsor Alfhd &lt;mnsoralfhd@gmail.com&gt;</t>
        </is>
      </c>
      <c r="B848" s="3" t="inlineStr">
        <is>
          <t>mnsoralfhd@gmail.com</t>
        </is>
      </c>
      <c r="C848" s="2" t="inlineStr"/>
      <c r="D848" s="2" t="inlineStr">
        <is>
          <t>Hello! How can we help you?  Report دراعه استرش- : 96072121   ‫أُرسلت من الـ iPhone‬</t>
        </is>
      </c>
      <c r="E848" s="4" t="inlineStr">
        <is>
          <t>96072121</t>
        </is>
      </c>
    </row>
    <row r="849" ht="18" customHeight="1">
      <c r="A849" s="5" t="inlineStr">
        <is>
          <t>Mnsor Alfhd &lt;mnsoralfhd@gmail.com&gt;</t>
        </is>
      </c>
      <c r="B849" s="6" t="inlineStr">
        <is>
          <t>mnsoralfhd@gmail.com</t>
        </is>
      </c>
      <c r="C849" s="5" t="inlineStr"/>
      <c r="D849" s="5" t="inlineStr">
        <is>
          <t>Hello! How can we help you?  Report دراعه فسفوريه- : 96072121   ‫أُرسلت من الـ iPhone‬</t>
        </is>
      </c>
      <c r="E849" s="7" t="inlineStr">
        <is>
          <t>96072121</t>
        </is>
      </c>
    </row>
    <row r="850" ht="18" customHeight="1">
      <c r="A850" s="2" t="inlineStr">
        <is>
          <t>Mnsor Alfhd &lt;mnsoralfhd@gmail.com&gt;</t>
        </is>
      </c>
      <c r="B850" s="3" t="inlineStr">
        <is>
          <t>mnsoralfhd@gmail.com</t>
        </is>
      </c>
      <c r="C850" s="2" t="inlineStr"/>
      <c r="D850" s="2" t="inlineStr">
        <is>
          <t>Hello! How can we help you?  Report ااام منصوووور الفهد نورة ك : 50847454   ‫أُرسلت من الـ iPhone‬</t>
        </is>
      </c>
      <c r="E850" s="4" t="inlineStr">
        <is>
          <t>50847454</t>
        </is>
      </c>
    </row>
    <row r="851" ht="18" customHeight="1">
      <c r="A851" s="5" t="inlineStr">
        <is>
          <t>mona ali &lt;rokayaelyacoubi2018@icloud.com&gt;</t>
        </is>
      </c>
      <c r="B851" s="6" t="inlineStr">
        <is>
          <t>rokayaelyacoubi2018@icloud.com</t>
        </is>
      </c>
      <c r="C851" s="5">
        <f>?utf-8?B?2KfYstin2YTZhyDYp9mE2LHZgtmFINi22LHZiNix2Yog?=</f>
        <v/>
      </c>
      <c r="D851" s="5" t="inlineStr">
        <is>
          <t>Hello! How can we help you?  Report تهاني ابريم- : 99305789   ‫أُرسلت من الـ iPhone‬</t>
        </is>
      </c>
      <c r="E851" s="7" t="inlineStr">
        <is>
          <t>99305789</t>
        </is>
      </c>
    </row>
    <row r="852" ht="18" customHeight="1">
      <c r="A852" s="2" t="inlineStr">
        <is>
          <t>ad_aw@icloud.com</t>
        </is>
      </c>
      <c r="B852" s="3" t="inlineStr">
        <is>
          <t>ad_aw@icloud.com</t>
        </is>
      </c>
      <c r="C852" s="2">
        <f>?utf-8?B?2YrYsdis2Ykg2YXYs9itINio2YrYp9mG2KfYqtmKINmE2K/ZitmD?=  =?utf-8?B?2YUg2KfZiCDZitiq2YUg2YXYs9itINmF2KfZh9mIINmF2KjZitmG?=  =?utf-8?B?INmE2K/ZitmD2YUg2YXZhiDYqNmK2KfZhtin2Kog2YTYr9mJINix?=  =?utf-8?B?2YLZhSDYp9mE2YXYsNmD2YjYsSDYqNiz2LHYuSDZiNmC2Kog2Yg=?=  =?utf-8?B?2LTZg9ix2KfZiyA5NjY0NjQ2MA==?=</f>
        <v/>
      </c>
      <c r="D852" s="2" t="inlineStr">
        <is>
          <t>Hello! How can we help you?  Report 5o el5ra- : 96646460   ‫أُرسلت من الـ iPhone‬</t>
        </is>
      </c>
      <c r="E852" s="4" t="inlineStr">
        <is>
          <t>96646460</t>
        </is>
      </c>
    </row>
    <row r="853" ht="18" customHeight="1">
      <c r="A853" s="5" t="inlineStr">
        <is>
          <t>omabody almutiri &lt;reemas4_q8@hotmail.com&gt;</t>
        </is>
      </c>
      <c r="B853" s="6" t="inlineStr">
        <is>
          <t>reemas4_q8@hotmail.com</t>
        </is>
      </c>
      <c r="C853" s="5" t="inlineStr"/>
      <c r="D853" s="5" t="inlineStr">
        <is>
          <t xml:space="preserve">Hello! How can we help you?  Report ابو محمد موقف البورصه- : 94003338  Sent from my iPhone </t>
        </is>
      </c>
      <c r="E853" s="7" t="inlineStr">
        <is>
          <t>94003338</t>
        </is>
      </c>
    </row>
    <row r="854" ht="18" customHeight="1">
      <c r="A854" s="2" t="inlineStr">
        <is>
          <t>omabody almutiri &lt;reemas4_q8@hotmail.com&gt;</t>
        </is>
      </c>
      <c r="B854" s="3" t="inlineStr">
        <is>
          <t>reemas4_q8@hotmail.com</t>
        </is>
      </c>
      <c r="C854" s="2" t="inlineStr"/>
      <c r="D854" s="2" t="inlineStr">
        <is>
          <t xml:space="preserve">Hello! How can we help you?  Report مشاعل ايفون- : 94003338  Sent from my iPhone </t>
        </is>
      </c>
      <c r="E854" s="4" t="inlineStr">
        <is>
          <t>94003338</t>
        </is>
      </c>
    </row>
    <row r="855" ht="18" customHeight="1">
      <c r="A855" s="5" t="inlineStr">
        <is>
          <t>Salah Al30sg &lt;s2l27@me.com&gt;</t>
        </is>
      </c>
      <c r="B855" s="6" t="inlineStr">
        <is>
          <t>s2l27@me.com</t>
        </is>
      </c>
      <c r="C855" s="5" t="inlineStr"/>
      <c r="D855" s="5" t="inlineStr">
        <is>
          <t>Hello! How can we help you?  Report مها- : 66024984   ‫أُرسلت من الـ iPhone‬</t>
        </is>
      </c>
      <c r="E855" s="7" t="inlineStr">
        <is>
          <t>66024984</t>
        </is>
      </c>
    </row>
    <row r="856" ht="18" customHeight="1">
      <c r="A856" s="2" t="inlineStr">
        <is>
          <t>Salah Al30sg &lt;s2l27@me.com&gt;</t>
        </is>
      </c>
      <c r="B856" s="3" t="inlineStr">
        <is>
          <t>s2l27@me.com</t>
        </is>
      </c>
      <c r="C856" s="2" t="inlineStr"/>
      <c r="D856" s="2" t="inlineStr">
        <is>
          <t>Hello! How can we help you?  Report صلاح الشات- : 66024984   ‫أُرسلت من الـ iPhone‬</t>
        </is>
      </c>
      <c r="E856" s="4" t="inlineStr">
        <is>
          <t>66024984</t>
        </is>
      </c>
    </row>
    <row r="857" ht="18" customHeight="1">
      <c r="A857" s="5" t="inlineStr">
        <is>
          <t>Salah Al30sg &lt;s2l27@me.com&gt;</t>
        </is>
      </c>
      <c r="B857" s="6" t="inlineStr">
        <is>
          <t>s2l27@me.com</t>
        </is>
      </c>
      <c r="C857" s="5">
        <f>?utf-8?B?2KfZhNmE2LrYp9ihINin2YTYqtiz2YXZitmHIA==?=</f>
        <v/>
      </c>
      <c r="D857" s="5" t="inlineStr">
        <is>
          <t>Hello! How can we help you?  Report ام جراح مها العميري - : 66024984   ‫أُرسلت من الـ iPhone‬</t>
        </is>
      </c>
      <c r="E857" s="7" t="inlineStr">
        <is>
          <t>66024984</t>
        </is>
      </c>
    </row>
    <row r="858" ht="18" customHeight="1">
      <c r="A858" s="2" t="inlineStr">
        <is>
          <t>Reem Alhashash &lt;a.reem.n2@gmail.com&gt;</t>
        </is>
      </c>
      <c r="B858" s="3" t="inlineStr">
        <is>
          <t>a.reem.n2@gmail.com</t>
        </is>
      </c>
      <c r="C858" s="2">
        <f>?utf-8?B?2K3YsNmB?=</f>
        <v/>
      </c>
      <c r="D858" s="2" t="inlineStr">
        <is>
          <t>Hello! How can we help you?  Report محمد فرحان الرومي- : 66690460   ‫أُرسلت من الـ Reem</t>
        </is>
      </c>
      <c r="E858" s="4" t="inlineStr">
        <is>
          <t>66690460</t>
        </is>
      </c>
    </row>
    <row r="859" ht="18" customHeight="1">
      <c r="A859" s="5" t="inlineStr">
        <is>
          <t>Reem Alhashash &lt;a.reem.n2@gmail.com&gt;</t>
        </is>
      </c>
      <c r="B859" s="6" t="inlineStr">
        <is>
          <t>a.reem.n2@gmail.com</t>
        </is>
      </c>
      <c r="C859" s="5">
        <f>?utf-8?B?2K3YsNmB?=</f>
        <v/>
      </c>
      <c r="D859" s="5" t="inlineStr">
        <is>
          <t xml:space="preserve">Hello! How can we help you?  Report أبوسالم (صباح السالم ق9)- : 66690460   ‫يرجى الحذف للخصوصية </t>
        </is>
      </c>
      <c r="E859" s="7" t="inlineStr">
        <is>
          <t>66690460</t>
        </is>
      </c>
    </row>
    <row r="860" ht="18" customHeight="1">
      <c r="A860" s="2" t="inlineStr">
        <is>
          <t>Reem Alhashash &lt;a.reem.n2@gmail.com&gt;</t>
        </is>
      </c>
      <c r="B860" s="3" t="inlineStr">
        <is>
          <t>a.reem.n2@gmail.com</t>
        </is>
      </c>
      <c r="C860" s="2">
        <f>?utf-8?B?2K3YsNmB?=</f>
        <v/>
      </c>
      <c r="D860" s="2" t="inlineStr">
        <is>
          <t xml:space="preserve">Hello! How can we help you?  Report محمد فرحان سالم- : 66690460   ‫يرجى الحذف للخصوصية ، شكرا </t>
        </is>
      </c>
      <c r="E860" s="4" t="inlineStr">
        <is>
          <t>66690460</t>
        </is>
      </c>
    </row>
    <row r="861" ht="18" customHeight="1">
      <c r="A861" s="5" t="inlineStr">
        <is>
          <t>Dhay Alsuwait &lt;dhay_alsuwait@icloud.com&gt;</t>
        </is>
      </c>
      <c r="B861" s="6" t="inlineStr">
        <is>
          <t>dhay_alsuwait@icloud.com</t>
        </is>
      </c>
      <c r="C861" s="5" t="inlineStr"/>
      <c r="D861" s="5" t="inlineStr">
        <is>
          <t>Hello! How can we help you?  Report بقي : 66550659   ‫أُرسلت من الـ iPhone‬</t>
        </is>
      </c>
      <c r="E861" s="7" t="inlineStr">
        <is>
          <t>66550659</t>
        </is>
      </c>
    </row>
    <row r="862" ht="18" customHeight="1">
      <c r="A862" s="2" t="inlineStr">
        <is>
          <t>Layla marafi &lt;layla_marafi@icloud.com&gt;</t>
        </is>
      </c>
      <c r="B862" s="3" t="inlineStr">
        <is>
          <t>layla_marafi@icloud.com</t>
        </is>
      </c>
      <c r="C862" s="2" t="inlineStr"/>
      <c r="D862" s="2" t="inlineStr">
        <is>
          <t>Hello! How can we help you?  Report Spammers based in your country KW :   Sent from my iPhone</t>
        </is>
      </c>
      <c r="E862" s="4" t="inlineStr"/>
    </row>
    <row r="863" ht="18" customHeight="1">
      <c r="A863" s="5" t="inlineStr">
        <is>
          <t>BoSoud &lt;doooshxp@gmail.com&gt;</t>
        </is>
      </c>
      <c r="B863" s="6" t="inlineStr">
        <is>
          <t>doooshxp@gmail.com</t>
        </is>
      </c>
      <c r="C863" s="5">
        <f>?utf-8?B?2YbYtdin2Kg=?=</f>
        <v/>
      </c>
      <c r="D863" s="5" t="inlineStr">
        <is>
          <t>Hello! How can we help you?  Report عرض اعمالي : 94784486   Sent from my iPhone</t>
        </is>
      </c>
      <c r="E863" s="7" t="inlineStr">
        <is>
          <t>94784486</t>
        </is>
      </c>
    </row>
    <row r="864" ht="18" customHeight="1">
      <c r="A864" s="2" t="inlineStr">
        <is>
          <t>BoSoud &lt;doooshxp@gmail.com&gt;</t>
        </is>
      </c>
      <c r="B864" s="3" t="inlineStr">
        <is>
          <t>doooshxp@gmail.com</t>
        </is>
      </c>
      <c r="C864" s="2">
        <f>?utf-8?B?2YXYqti32YHZhCA=?=</f>
        <v/>
      </c>
      <c r="D864" s="2" t="inlineStr">
        <is>
          <t>Hello! How can we help you?  Report متطفلين حسب بلاغات من بلدك KW :   94784486  Sent from my iPhone</t>
        </is>
      </c>
      <c r="E864" s="4" t="inlineStr">
        <is>
          <t>94784486</t>
        </is>
      </c>
    </row>
    <row r="865" ht="18" customHeight="1">
      <c r="A865" s="5">
        <f>?utf-8?B?2YfYp9iv2Yog2KfZhNmF2LHYtNiv?= &lt;hadi60667640@gmail.com&gt;</f>
        <v/>
      </c>
      <c r="B865" s="6" t="inlineStr">
        <is>
          <t>hadi60667640@gmail.com</t>
        </is>
      </c>
      <c r="C865" s="5">
        <f>?utf-8?B?2KfYs9mFINi62YrYsSDZhNin2KbZgg==?=</f>
        <v/>
      </c>
      <c r="D865" s="5" t="inlineStr">
        <is>
          <t>Hello! How can we help you?  Report هادي عصر تعقيم : 50719798    ‫أُرسلت من الـ iPhone‬</t>
        </is>
      </c>
      <c r="E865" s="7" t="inlineStr">
        <is>
          <t>50719798</t>
        </is>
      </c>
    </row>
    <row r="866" ht="18" customHeight="1">
      <c r="A866" s="2" t="inlineStr">
        <is>
          <t>j661661@gmail.com</t>
        </is>
      </c>
      <c r="B866" s="3" t="inlineStr">
        <is>
          <t>j661661@gmail.com</t>
        </is>
      </c>
      <c r="C866" s="2">
        <f>?utf-8?B?2KfYstin2YTYqiDYp9mE2YjYtdmB?=</f>
        <v/>
      </c>
      <c r="D866" s="2" t="inlineStr">
        <is>
          <t>Hello! How can we help you?  Report لا جمال باجر جابريه هوز : 66166140   JAMAL ALKHASHAB</t>
        </is>
      </c>
      <c r="E866" s="4" t="inlineStr">
        <is>
          <t>66166140</t>
        </is>
      </c>
    </row>
    <row r="867" ht="18" customHeight="1">
      <c r="A867" s="5" t="inlineStr">
        <is>
          <t>falbloushi0@icloud.com</t>
        </is>
      </c>
      <c r="B867" s="6" t="inlineStr">
        <is>
          <t>falbloushi0@icloud.com</t>
        </is>
      </c>
      <c r="C867" s="5" t="inlineStr"/>
      <c r="D867" s="5" t="inlineStr">
        <is>
          <t>Hello! How can we help you?  Report مزرعة نعام 2 : 98801213  يرجى حذف الاسم لانه محرج وتم تغيير صاحب الرقم Sent from my iPhone</t>
        </is>
      </c>
      <c r="E867" s="7" t="inlineStr">
        <is>
          <t>98801213</t>
        </is>
      </c>
    </row>
    <row r="868" ht="18" customHeight="1">
      <c r="A868" s="2" t="inlineStr">
        <is>
          <t>Farah Alqab &lt;f.nine3@yahoo.com&gt;</t>
        </is>
      </c>
      <c r="B868" s="3" t="inlineStr">
        <is>
          <t>f.nine3@yahoo.com</t>
        </is>
      </c>
      <c r="C868" s="2">
        <f>?utf-8?B?2LfZhNioINit2LDZgSDYsdmC2YU=?=</f>
        <v/>
      </c>
      <c r="D868" s="2" t="inlineStr">
        <is>
          <t xml:space="preserve">السلام عليكم رقمي 55580688 لا امانع ظهور اسمي لكن هناك امور اتمنى مسحها مثل عميل غرب عبدالله، هديه من سعد العبدالله، حطين. شكرا لكم  </t>
        </is>
      </c>
      <c r="E868" s="4" t="inlineStr">
        <is>
          <t>55580688</t>
        </is>
      </c>
    </row>
    <row r="869" ht="18" customHeight="1">
      <c r="A869" s="5" t="inlineStr">
        <is>
          <t>Fahad Alsahli &lt;fahadalsahli4@gmail.com&gt;</t>
        </is>
      </c>
      <c r="B869" s="6" t="inlineStr">
        <is>
          <t>fahadalsahli4@gmail.com</t>
        </is>
      </c>
      <c r="C869" s="5" t="inlineStr"/>
      <c r="D869" s="5" t="inlineStr">
        <is>
          <t>Hello! How can we help you?  Report Fahad Alba6a : 60382200   Sent from my iPhone</t>
        </is>
      </c>
      <c r="E869" s="7" t="inlineStr">
        <is>
          <t>60382200</t>
        </is>
      </c>
    </row>
    <row r="870" ht="18" customHeight="1">
      <c r="A870" s="2" t="inlineStr">
        <is>
          <t>Fahad Alsahli &lt;fahadalsahli4@gmail.com&gt;</t>
        </is>
      </c>
      <c r="B870" s="3" t="inlineStr">
        <is>
          <t>fahadalsahli4@gmail.com</t>
        </is>
      </c>
      <c r="C870" s="2" t="inlineStr"/>
      <c r="D870" s="2" t="inlineStr">
        <is>
          <t>Hello! How can we help you?  Report machbos la7am : 60382200   Sent from my iPhone</t>
        </is>
      </c>
      <c r="E870" s="4" t="inlineStr">
        <is>
          <t>60382200</t>
        </is>
      </c>
    </row>
    <row r="871" ht="18" customHeight="1">
      <c r="A871" s="5" t="inlineStr">
        <is>
          <t>Fahad Alsahli &lt;fahadalsahli4@gmail.com&gt;</t>
        </is>
      </c>
      <c r="B871" s="6" t="inlineStr">
        <is>
          <t>fahadalsahli4@gmail.com</t>
        </is>
      </c>
      <c r="C871" s="5" t="inlineStr"/>
      <c r="D871" s="5" t="inlineStr">
        <is>
          <t>Hello! How can we help you?  Report Ana- : 60382200   Sent from my iPhone</t>
        </is>
      </c>
      <c r="E871" s="7" t="inlineStr">
        <is>
          <t>60382200</t>
        </is>
      </c>
    </row>
    <row r="872" ht="18" customHeight="1">
      <c r="A872" s="2" t="inlineStr">
        <is>
          <t>Fahad Alsahli &lt;fahadalsahli4@gmail.com&gt;</t>
        </is>
      </c>
      <c r="B872" s="3" t="inlineStr">
        <is>
          <t>fahadalsahli4@gmail.com</t>
        </is>
      </c>
      <c r="C872" s="2" t="inlineStr"/>
      <c r="D872" s="2" t="inlineStr">
        <is>
          <t>Hello! How can we help you?  Report انا- : 60382200   Sent from my iPhone</t>
        </is>
      </c>
      <c r="E872" s="4" t="inlineStr">
        <is>
          <t>60382200</t>
        </is>
      </c>
    </row>
    <row r="873" ht="18" customHeight="1">
      <c r="A873" s="5" t="inlineStr">
        <is>
          <t>Fahad Alsahli &lt;fahadalsahli4@gmail.com&gt;</t>
        </is>
      </c>
      <c r="B873" s="6" t="inlineStr">
        <is>
          <t>fahadalsahli4@gmail.com</t>
        </is>
      </c>
      <c r="C873" s="5" t="inlineStr"/>
      <c r="D873" s="5" t="inlineStr">
        <is>
          <t>Hello! How can we help you?  Report فهودي ياكل دودي : 60382200   Sent from my iPhone</t>
        </is>
      </c>
      <c r="E873" s="7" t="inlineStr">
        <is>
          <t>60382200</t>
        </is>
      </c>
    </row>
    <row r="874" ht="18" customHeight="1">
      <c r="A874" s="2" t="inlineStr">
        <is>
          <t>Jihan Mohammed &lt;jihan71taqi@gmail.com&gt;</t>
        </is>
      </c>
      <c r="B874" s="3" t="inlineStr">
        <is>
          <t>jihan71taqi@gmail.com</t>
        </is>
      </c>
      <c r="C874" s="2" t="inlineStr"/>
      <c r="D874" s="2" t="inlineStr">
        <is>
          <t>Hello! How can we help you?  Report قحيبه عجوز النار نجناها و العير خفيفه : 65999964   Sent from my iPhone</t>
        </is>
      </c>
      <c r="E874" s="4" t="inlineStr">
        <is>
          <t>65999964</t>
        </is>
      </c>
    </row>
    <row r="875" ht="18" customHeight="1">
      <c r="A875" s="5" t="inlineStr">
        <is>
          <t>Safa Alasad &lt;safa.alasad@gmail.com&gt;</t>
        </is>
      </c>
      <c r="B875" s="6" t="inlineStr">
        <is>
          <t>safa.alasad@gmail.com</t>
        </is>
      </c>
      <c r="C875" s="5">
        <f>?utf-8?B?2LfZhNioINit2LDZgSDYsdmC2YU=?=</f>
        <v/>
      </c>
      <c r="D875" s="5" t="inlineStr">
        <is>
          <t xml:space="preserve">السلام عليكم  انا تواصلت معاكم من قبل عشان حذف رقمي من موقعكم حيث ان اسمي الكااامل موجود مع عنواني الخاص ولا يوجد خصوصية ولقد اشتركت معكم في خدمة حجب الرقم كذا سنة الان ولكن لا اريد ان يكون رقمي موجود من ضمن الارقام للاسباب التي ذكرتها رقمي: 60044550 وشكرا جزيلا </t>
        </is>
      </c>
      <c r="E875" s="7" t="inlineStr">
        <is>
          <t>60044550</t>
        </is>
      </c>
    </row>
    <row r="876" ht="18" customHeight="1">
      <c r="A876" s="2">
        <f>?utf-8?B?2K3Ys9mK2YYg2KfZhNi52KzZhdmK?= &lt;hralmashoor@icloud.com&gt;</f>
        <v/>
      </c>
      <c r="B876" s="3" t="inlineStr">
        <is>
          <t>hralmashoor@icloud.com</t>
        </is>
      </c>
      <c r="C876" s="2" t="inlineStr"/>
      <c r="D876" s="2" t="inlineStr">
        <is>
          <t>Hello! How can we help you?  Report حسين الضفعه - : 55302323   Sent from my iPhone</t>
        </is>
      </c>
      <c r="E876" s="4" t="inlineStr">
        <is>
          <t>55302323</t>
        </is>
      </c>
    </row>
    <row r="877" ht="18" customHeight="1">
      <c r="A877" s="5">
        <f>?utf-8?B?2K3Ys9mK2YYg2KfZhNi52KzZhdmK?= &lt;hralmashoor@icloud.com&gt;</f>
        <v/>
      </c>
      <c r="B877" s="6" t="inlineStr">
        <is>
          <t>hralmashoor@icloud.com</t>
        </is>
      </c>
      <c r="C877" s="5" t="inlineStr"/>
      <c r="D877" s="5" t="inlineStr">
        <is>
          <t>Hello! How can we help you?  Report حسين راشد ولد غزيل- : 55302323   Sent from my iPhone</t>
        </is>
      </c>
      <c r="E877" s="7" t="inlineStr">
        <is>
          <t>55302323</t>
        </is>
      </c>
    </row>
    <row r="878" ht="18" customHeight="1">
      <c r="A878" s="2">
        <f>?utf-8?B?2K3Ys9mK2YYg2KfZhNi52KzZhdmK?= &lt;hralmashoor@icloud.com&gt;</f>
        <v/>
      </c>
      <c r="B878" s="3" t="inlineStr">
        <is>
          <t>hralmashoor@icloud.com</t>
        </is>
      </c>
      <c r="C878" s="2" t="inlineStr"/>
      <c r="D878" s="2" t="inlineStr">
        <is>
          <t>Hello! How can we help you?  Report حسين ابن غزيل- : 55302323   Sent from my iPhone</t>
        </is>
      </c>
      <c r="E878" s="4" t="inlineStr">
        <is>
          <t>55302323</t>
        </is>
      </c>
    </row>
    <row r="879" ht="18" customHeight="1">
      <c r="A879" s="5">
        <f>?utf-8?B?2K3Ys9mK2YYg2KfZhNi52KzZhdmK?= &lt;hralmashoor@icloud.com&gt;</f>
        <v/>
      </c>
      <c r="B879" s="6" t="inlineStr">
        <is>
          <t>hralmashoor@icloud.com</t>
        </is>
      </c>
      <c r="C879" s="5" t="inlineStr"/>
      <c r="D879" s="5" t="inlineStr">
        <is>
          <t>Hello! How can we help you?  Report حسون عزيل - : 55302323   Sent from my iPhone</t>
        </is>
      </c>
      <c r="E879" s="7" t="inlineStr">
        <is>
          <t>55302323</t>
        </is>
      </c>
    </row>
    <row r="880" ht="18" customHeight="1">
      <c r="A880" s="2" t="inlineStr">
        <is>
          <t>axjrr@icloud.com</t>
        </is>
      </c>
      <c r="B880" s="3" t="inlineStr">
        <is>
          <t>axjrr@icloud.com</t>
        </is>
      </c>
      <c r="C880" s="2" t="inlineStr"/>
      <c r="D880" s="2" t="inlineStr">
        <is>
          <t>Hello! How can we help you?  Report أثيوبيه : 51772297   Sent from my iPhone</t>
        </is>
      </c>
      <c r="E880" s="4" t="inlineStr">
        <is>
          <t>51772297</t>
        </is>
      </c>
    </row>
    <row r="881" ht="18" customHeight="1">
      <c r="A881" s="5" t="inlineStr">
        <is>
          <t>axjrr@icloud.com</t>
        </is>
      </c>
      <c r="B881" s="6" t="inlineStr">
        <is>
          <t>axjrr@icloud.com</t>
        </is>
      </c>
      <c r="C881" s="5" t="inlineStr"/>
      <c r="D881" s="5" t="inlineStr">
        <is>
          <t>Hello! How can we help you?  Report أثيوبيه عمرها : 51772297   Sent from my iPhone</t>
        </is>
      </c>
      <c r="E881" s="7" t="inlineStr">
        <is>
          <t>51772297</t>
        </is>
      </c>
    </row>
    <row r="882" ht="18" customHeight="1">
      <c r="A882" s="2" t="inlineStr">
        <is>
          <t>Yousif Al-Moumen &lt;ysf_z28@yahoo.com&gt;</t>
        </is>
      </c>
      <c r="B882" s="3" t="inlineStr">
        <is>
          <t>ysf_z28@yahoo.com</t>
        </is>
      </c>
      <c r="C882" s="2" t="inlineStr">
        <is>
          <t>Hi</t>
        </is>
      </c>
      <c r="D882" s="2" t="inlineStr">
        <is>
          <t xml:space="preserve">Hello! How can we help you?    الرجاء الغاء هذا التعليق وشكراً    Report بلاك لست جابر العلي- : 97284494     Best Regards, Yousif Al-Moumen  </t>
        </is>
      </c>
      <c r="E882" s="4" t="inlineStr">
        <is>
          <t>97284494</t>
        </is>
      </c>
    </row>
    <row r="883" ht="18" customHeight="1">
      <c r="A883" s="5" t="inlineStr">
        <is>
          <t>IBRAHIM ALHASSAWI &lt;hassawi7@icloud.com&gt;</t>
        </is>
      </c>
      <c r="B883" s="6" t="inlineStr">
        <is>
          <t>hassawi7@icloud.com</t>
        </is>
      </c>
      <c r="C883" s="5">
        <f>?utf-8?B?2KrZhtio2YrZhw==?=</f>
        <v/>
      </c>
      <c r="D883" s="5" t="inlineStr">
        <is>
          <t>Hello! How can we help you?  Report نغل 21 : 66055036   الرجاء مسح هذا التعليق غير لائق</t>
        </is>
      </c>
      <c r="E883" s="7" t="inlineStr">
        <is>
          <t>66055036</t>
        </is>
      </c>
    </row>
    <row r="884" ht="18" customHeight="1">
      <c r="A884" s="2" t="inlineStr">
        <is>
          <t>hassoonya2002@gmail.com</t>
        </is>
      </c>
      <c r="B884" s="3" t="inlineStr">
        <is>
          <t>hassoonya2002@gmail.com</t>
        </is>
      </c>
      <c r="C884" s="2" t="inlineStr"/>
      <c r="D884" s="2" t="inlineStr">
        <is>
          <t>Hello! How can we help you?  Report تهانو الجاسوسه ام السحووره : 97178868   Sent from my iPhone</t>
        </is>
      </c>
      <c r="E884" s="4" t="inlineStr">
        <is>
          <t>97178868</t>
        </is>
      </c>
    </row>
    <row r="885" ht="18" customHeight="1">
      <c r="A885" s="5" t="inlineStr">
        <is>
          <t>Abdulhadi Alazmi &lt;aalazmi.22715@gmail.com&gt;</t>
        </is>
      </c>
      <c r="B885" s="6" t="inlineStr">
        <is>
          <t>aalazmi.22715@gmail.com</t>
        </is>
      </c>
      <c r="C885" s="5" t="inlineStr"/>
      <c r="D885" s="5" t="inlineStr">
        <is>
          <t>Hello! How can we help you?  Report جابر العلى ق2 : 69934222   ‫أُرسلت من الـ iPhone‬</t>
        </is>
      </c>
      <c r="E885" s="7" t="inlineStr">
        <is>
          <t>69934222</t>
        </is>
      </c>
    </row>
    <row r="886" ht="18" customHeight="1">
      <c r="A886" s="2" t="inlineStr">
        <is>
          <t>Easa Altfeere &lt;roma.964@icloud.com&gt;</t>
        </is>
      </c>
      <c r="B886" s="3" t="inlineStr">
        <is>
          <t>roma.964@icloud.com</t>
        </is>
      </c>
      <c r="C886" s="2">
        <f>?utf-8?B?2YPYtNmBINin2YTYrti12YjYtdmK2Yc=?=</f>
        <v/>
      </c>
      <c r="D886" s="2" t="inlineStr">
        <is>
          <t>Hello! How can we help you?  Report حادي عشر علمي تيماء ق2ش1م27-عيسى : 50501785   ‫أُرسلت من الـ iPhone‬</t>
        </is>
      </c>
      <c r="E886" s="4" t="inlineStr">
        <is>
          <t>50501785</t>
        </is>
      </c>
    </row>
    <row r="887" ht="18" customHeight="1">
      <c r="A887" s="5">
        <f>?utf-8?B?2YXZhti12YjYsSDYp9mE2YbYp9i12LE=?= &lt;mooo2222@icloud.com&gt;</f>
        <v/>
      </c>
      <c r="B887" s="6" t="inlineStr">
        <is>
          <t>mooo2222@icloud.com</t>
        </is>
      </c>
      <c r="C887" s="5">
        <f>?utf-8?B?2KfYs9in2KHZhyDYqNin2YTYp9iz2YUg2KfZhNix2KzYp9ihINin?=  =?utf-8?B?2YTYrdiw2YE=?=</f>
        <v/>
      </c>
      <c r="D887" s="5" t="inlineStr">
        <is>
          <t>Hello! How can we help you?  Report منصرجابرعلي دكام ال صليع زير النساء : 52222779   ‫أُرسلت من الـ iPhone‬</t>
        </is>
      </c>
      <c r="E887" s="7" t="inlineStr">
        <is>
          <t>52222779</t>
        </is>
      </c>
    </row>
    <row r="888" ht="18" customHeight="1">
      <c r="A888" s="2">
        <f>?utf-8?B?2YXZhti12YjYsSDYp9mE2YbYp9i12LE=?= &lt;mooo2222@icloud.com&gt;</f>
        <v/>
      </c>
      <c r="B888" s="3" t="inlineStr">
        <is>
          <t>mooo2222@icloud.com</t>
        </is>
      </c>
      <c r="C888" s="2">
        <f>?utf-8?B?2LfZhNioINit2LDZgSDYsdmC2YU=?=</f>
        <v/>
      </c>
      <c r="D888" s="2" t="inlineStr">
        <is>
          <t>52222779 ارجو حذف الاسماء للاساءه ‫أُرسلت من الـ iPhone‬</t>
        </is>
      </c>
      <c r="E888" s="4" t="inlineStr">
        <is>
          <t>52222779</t>
        </is>
      </c>
    </row>
    <row r="889" ht="18" customHeight="1">
      <c r="A889" s="5">
        <f>?utf-8?B?2YXZhti12YjYsSDYp9mE2YbYp9i12LE=?= &lt;mooo2222@icloud.com&gt;</f>
        <v/>
      </c>
      <c r="B889" s="6" t="inlineStr">
        <is>
          <t>mooo2222@icloud.com</t>
        </is>
      </c>
      <c r="C889" s="5">
        <f>?utf-8?B?2KfYs9in2KHZhyDZgdmKINin2YTYp9iz2YU=?=</f>
        <v/>
      </c>
      <c r="D889" s="5" t="inlineStr">
        <is>
          <t>Hello! How can we help you?  Report منصرجابرعلي دكام ال صليع زير النساء : 52222779   ‫أُرسلت من الـ iPhone‬</t>
        </is>
      </c>
      <c r="E889" s="7" t="inlineStr">
        <is>
          <t>52222779</t>
        </is>
      </c>
    </row>
    <row r="890" ht="18" customHeight="1">
      <c r="A890" s="2" t="inlineStr">
        <is>
          <t>aliasultan315@icloud.com</t>
        </is>
      </c>
      <c r="B890" s="3" t="inlineStr">
        <is>
          <t>aliasultan315@icloud.com</t>
        </is>
      </c>
      <c r="C890" s="2" t="inlineStr">
        <is>
          <t>Delete this name</t>
        </is>
      </c>
      <c r="D890" s="2" t="inlineStr">
        <is>
          <t>Hello! How can we help you?  Report El7ub Eljded - : 94052111   ‫أُرسلت من الـ iPhone‬</t>
        </is>
      </c>
      <c r="E890" s="4" t="inlineStr">
        <is>
          <t>94052111</t>
        </is>
      </c>
    </row>
    <row r="891" ht="18" customHeight="1">
      <c r="A891" s="5" t="inlineStr">
        <is>
          <t>Tareq Alkandari &lt;tmsk965@gmail.com&gt;</t>
        </is>
      </c>
      <c r="B891" s="6" t="inlineStr">
        <is>
          <t>tmsk965@gmail.com</t>
        </is>
      </c>
      <c r="C891" s="5" t="inlineStr"/>
      <c r="D891" s="5" t="inlineStr">
        <is>
          <t xml:space="preserve">Hello! How can we help you?  Report أ. طارق الكندري مكتب خدمات تسويقية : 69992759  الرقم رقمي و المكتب الغي ولم يتم تجديد رخصته يرجى ازالة الاسم شاكراً لكم حسن تعاونكم   </t>
        </is>
      </c>
      <c r="E891" s="7" t="inlineStr">
        <is>
          <t>69992759</t>
        </is>
      </c>
    </row>
    <row r="892" ht="18" customHeight="1">
      <c r="A892" s="2" t="inlineStr">
        <is>
          <t>Ahmad Alazmi &lt;Aalashqar@hotmail.com&gt;</t>
        </is>
      </c>
      <c r="B892" s="3" t="inlineStr">
        <is>
          <t>Aalashqar@hotmail.com</t>
        </is>
      </c>
      <c r="C892" s="2">
        <f>?utf-8?B?2K7Yt9inINio2KfZhNin2LPZhQ==?=</f>
        <v/>
      </c>
      <c r="D892" s="2" t="inlineStr">
        <is>
          <t xml:space="preserve">Hello! How can we help you?  Report لم يرد 4- : 60009260  احمد العازمي </t>
        </is>
      </c>
      <c r="E892" s="4" t="inlineStr">
        <is>
          <t>60009260</t>
        </is>
      </c>
    </row>
    <row r="893" ht="18" customHeight="1">
      <c r="A893" s="5" t="inlineStr">
        <is>
          <t>Ahmad Alazmi &lt;Aalashqar@hotmail.com&gt;</t>
        </is>
      </c>
      <c r="B893" s="6" t="inlineStr">
        <is>
          <t>Aalashqar@hotmail.com</t>
        </is>
      </c>
      <c r="C893" s="5">
        <f>?utf-8?B?2K7Yt9inINio2KfZhNin2LPZhQ==?=</f>
        <v/>
      </c>
      <c r="D893" s="5" t="inlineStr">
        <is>
          <t xml:space="preserve">Hello! How can we help you?  Report ةةة- : 60009260  احمد العازمي </t>
        </is>
      </c>
      <c r="E893" s="7" t="inlineStr">
        <is>
          <t>60009260</t>
        </is>
      </c>
    </row>
    <row r="894" ht="18" customHeight="1">
      <c r="A894" s="2" t="inlineStr">
        <is>
          <t>Ahmad Alazmi &lt;Aalashqar@hotmail.com&gt;</t>
        </is>
      </c>
      <c r="B894" s="3" t="inlineStr">
        <is>
          <t>Aalashqar@hotmail.com</t>
        </is>
      </c>
      <c r="C894" s="2">
        <f>?utf-8?B?2K7Yt9inINio2KfZhNin2LPZhQ==?=</f>
        <v/>
      </c>
      <c r="D894" s="2" t="inlineStr">
        <is>
          <t xml:space="preserve">Hello! How can we help you?  Report لم يرد 4- : 60009260  احمد العازمي </t>
        </is>
      </c>
      <c r="E894" s="4" t="inlineStr">
        <is>
          <t>60009260</t>
        </is>
      </c>
    </row>
    <row r="895" ht="18" customHeight="1">
      <c r="A895" s="5" t="inlineStr">
        <is>
          <t>Ahmad Alazmi &lt;Aalashqar@hotmail.com&gt;</t>
        </is>
      </c>
      <c r="B895" s="6" t="inlineStr">
        <is>
          <t>Aalashqar@hotmail.com</t>
        </is>
      </c>
      <c r="C895" s="5">
        <f>?utf-8?B?2K7Yt9inINio2KfZhNin2LPZhQ==?=</f>
        <v/>
      </c>
      <c r="D895" s="5" t="inlineStr">
        <is>
          <t xml:space="preserve">Hello! How can we help you?  Report اغراض- : 60009260  احمد العازمي </t>
        </is>
      </c>
      <c r="E895" s="7" t="inlineStr">
        <is>
          <t>60009260</t>
        </is>
      </c>
    </row>
    <row r="896" ht="18" customHeight="1">
      <c r="A896" s="2" t="inlineStr">
        <is>
          <t>Ahmad Alazmi &lt;Aalashqar@hotmail.com&gt;</t>
        </is>
      </c>
      <c r="B896" s="3" t="inlineStr">
        <is>
          <t>Aalashqar@hotmail.com</t>
        </is>
      </c>
      <c r="C896" s="2">
        <f>?utf-8?B?2K7Yt9ijINio2KfZhNin2LPZhQ==?=</f>
        <v/>
      </c>
      <c r="D896" s="2" t="inlineStr">
        <is>
          <t xml:space="preserve">Hello! How can we help you?  Report حلاقه رقه عند الرقعي 35- : 60009260  احمد العازمي </t>
        </is>
      </c>
      <c r="E896" s="4" t="inlineStr">
        <is>
          <t>60009260</t>
        </is>
      </c>
    </row>
    <row r="897" ht="18" customHeight="1">
      <c r="A897" s="5" t="inlineStr">
        <is>
          <t>Shajan Almutairi &lt;shajouna@icloud.com&gt;</t>
        </is>
      </c>
      <c r="B897" s="6" t="inlineStr">
        <is>
          <t>shajouna@icloud.com</t>
        </is>
      </c>
      <c r="C897" s="5" t="inlineStr">
        <is>
          <t>Delete it plz</t>
        </is>
      </c>
      <c r="D897" s="5" t="inlineStr">
        <is>
          <t>Hello! How can we help you?  Report ميزه- : 99733229   Sent from my iPhone</t>
        </is>
      </c>
      <c r="E897" s="7" t="inlineStr">
        <is>
          <t>99733229</t>
        </is>
      </c>
    </row>
    <row r="898" ht="18" customHeight="1">
      <c r="A898" s="2" t="inlineStr">
        <is>
          <t>Samer Adel &lt;samer_shivooo@icloud.com&gt;</t>
        </is>
      </c>
      <c r="B898" s="3" t="inlineStr">
        <is>
          <t>samer_shivooo@icloud.com</t>
        </is>
      </c>
      <c r="C898" s="2" t="inlineStr">
        <is>
          <t xml:space="preserve">Abuse </t>
        </is>
      </c>
      <c r="D898" s="2" t="inlineStr">
        <is>
          <t>Hello! How can we help you?  Report حقببجي : 56511268   Sent from my iPhone</t>
        </is>
      </c>
      <c r="E898" s="4" t="inlineStr">
        <is>
          <t>56511268</t>
        </is>
      </c>
    </row>
    <row r="899" ht="18" customHeight="1">
      <c r="A899" s="5">
        <f>?utf-8?B?2KfYrdmF2K8g2KfZhNi52YbYstmK?= &lt;q8sky99@icloud.com&gt;</f>
        <v/>
      </c>
      <c r="B899" s="6" t="inlineStr">
        <is>
          <t>q8sky99@icloud.com</t>
        </is>
      </c>
      <c r="C899" s="5" t="inlineStr"/>
      <c r="D899" s="5" t="inlineStr">
        <is>
          <t>Hello! How can we help you?  Report سعدون راشد : 55497775   Sent from my iPhone</t>
        </is>
      </c>
      <c r="E899" s="7" t="inlineStr">
        <is>
          <t>55497775</t>
        </is>
      </c>
    </row>
    <row r="900" ht="18" customHeight="1">
      <c r="A900" s="2">
        <f>?utf-8?B?2KfYrdmF2K8g2KfZhNi52YbYstmK?= &lt;q8sky99@icloud.com&gt;</f>
        <v/>
      </c>
      <c r="B900" s="3" t="inlineStr">
        <is>
          <t>q8sky99@icloud.com</t>
        </is>
      </c>
      <c r="C900" s="2" t="inlineStr"/>
      <c r="D900" s="2" t="inlineStr">
        <is>
          <t>Hello! How can we help you?  Report سعدون : 55497775   Sent from my iPhone</t>
        </is>
      </c>
      <c r="E900" s="4" t="inlineStr">
        <is>
          <t>55497775</t>
        </is>
      </c>
    </row>
    <row r="901" ht="18" customHeight="1">
      <c r="A901" s="5">
        <f>?utf-8?B?2KfYrdmF2K8g2KfZhNi52YbYstmK?= &lt;q8sky99@icloud.com&gt;</f>
        <v/>
      </c>
      <c r="B901" s="6" t="inlineStr">
        <is>
          <t>q8sky99@icloud.com</t>
        </is>
      </c>
      <c r="C901" s="5" t="inlineStr"/>
      <c r="D901" s="5" t="inlineStr">
        <is>
          <t>Hello! How can we help you?  Report S3don Rashed- : 55497775   Sent from my iPhone</t>
        </is>
      </c>
      <c r="E901" s="7" t="inlineStr">
        <is>
          <t>55497775</t>
        </is>
      </c>
    </row>
    <row r="902" ht="18" customHeight="1">
      <c r="A902" s="2">
        <f>?utf-8?B?2KfYrdmF2K8g2KfZhNi52YbYstmK?= &lt;q8sky99@icloud.com&gt;</f>
        <v/>
      </c>
      <c r="B902" s="3" t="inlineStr">
        <is>
          <t>q8sky99@icloud.com</t>
        </is>
      </c>
      <c r="C902" s="2" t="inlineStr"/>
      <c r="D902" s="2" t="inlineStr">
        <is>
          <t>Hello! How can we help you?  Report S3don Rashed- : 55497775   Sent from my iPhone</t>
        </is>
      </c>
      <c r="E902" s="4" t="inlineStr">
        <is>
          <t>55497775</t>
        </is>
      </c>
    </row>
    <row r="903" ht="18" customHeight="1">
      <c r="A903" s="5">
        <f>?utf-8?B?2KfYrdmF2K8g2KfZhNi52YbYstmK?= &lt;q8sky99@icloud.com&gt;</f>
        <v/>
      </c>
      <c r="B903" s="6" t="inlineStr">
        <is>
          <t>q8sky99@icloud.com</t>
        </is>
      </c>
      <c r="C903" s="5" t="inlineStr"/>
      <c r="D903" s="5" t="inlineStr">
        <is>
          <t>Hello! How can we help you?  Report سعدون اخو خفره- : 55497775   Sent from my iPhone</t>
        </is>
      </c>
      <c r="E903" s="7" t="inlineStr">
        <is>
          <t>55497775</t>
        </is>
      </c>
    </row>
    <row r="904" ht="18" customHeight="1">
      <c r="A904" s="2">
        <f>?utf-8?B?2KfYrdmF2K8g2KfZhNi52YbYstmK?= &lt;q8sky99@icloud.com&gt;</f>
        <v/>
      </c>
      <c r="B904" s="3" t="inlineStr">
        <is>
          <t>q8sky99@icloud.com</t>
        </is>
      </c>
      <c r="C904" s="2" t="inlineStr"/>
      <c r="D904" s="2" t="inlineStr">
        <is>
          <t>Hello! How can we help you?  Report سسعدون الجميعان- : 55497775   Sent from my iPhone</t>
        </is>
      </c>
      <c r="E904" s="4" t="inlineStr">
        <is>
          <t>55497775</t>
        </is>
      </c>
    </row>
    <row r="905" ht="18" customHeight="1">
      <c r="A905" s="5">
        <f>?utf-8?B?2KfYrdmF2K8g2KfZhNi52YbYstmK?= &lt;q8sky99@icloud.com&gt;</f>
        <v/>
      </c>
      <c r="B905" s="6" t="inlineStr">
        <is>
          <t>q8sky99@icloud.com</t>
        </is>
      </c>
      <c r="C905" s="5" t="inlineStr"/>
      <c r="D905" s="5" t="inlineStr">
        <is>
          <t>Hello! How can we help you?  Report سعدون الجمعيان - : 55497775   Sent from my iPhone</t>
        </is>
      </c>
      <c r="E905" s="7" t="inlineStr">
        <is>
          <t>55497775</t>
        </is>
      </c>
    </row>
    <row r="906" ht="18" customHeight="1">
      <c r="A906" s="2">
        <f>?utf-8?B?2KfYrdmF2K8g2KfZhNi52YbYstmK?= &lt;q8sky99@icloud.com&gt;</f>
        <v/>
      </c>
      <c r="B906" s="3" t="inlineStr">
        <is>
          <t>q8sky99@icloud.com</t>
        </is>
      </c>
      <c r="C906" s="2" t="inlineStr"/>
      <c r="D906" s="2" t="inlineStr">
        <is>
          <t>Hello! How can we help you?  Report سعدون ك- : 55497775   Sent from my iPhone</t>
        </is>
      </c>
      <c r="E906" s="4" t="inlineStr">
        <is>
          <t>55497775</t>
        </is>
      </c>
    </row>
    <row r="907" ht="18" customHeight="1">
      <c r="A907" s="5">
        <f>?utf-8?B?2KfYrdmF2K8g2KfZhNi52YbYstmK?= &lt;q8sky99@icloud.com&gt;</f>
        <v/>
      </c>
      <c r="B907" s="6" t="inlineStr">
        <is>
          <t>q8sky99@icloud.com</t>
        </is>
      </c>
      <c r="C907" s="5" t="inlineStr"/>
      <c r="D907" s="5" t="inlineStr">
        <is>
          <t>Hello! How can we help you?  Report سعدون الجميعان- : 55497775   Sent from my iPhone</t>
        </is>
      </c>
      <c r="E907" s="7" t="inlineStr">
        <is>
          <t>55497775</t>
        </is>
      </c>
    </row>
    <row r="908" ht="18" customHeight="1">
      <c r="A908" s="2">
        <f>?utf-8?B?2KfYrdmF2K8g2KfZhNi52YbYstmK?= &lt;q8sky99@icloud.com&gt;</f>
        <v/>
      </c>
      <c r="B908" s="3" t="inlineStr">
        <is>
          <t>q8sky99@icloud.com</t>
        </is>
      </c>
      <c r="C908" s="2" t="inlineStr"/>
      <c r="D908" s="2" t="inlineStr">
        <is>
          <t>Hello! How can we help you?  Report سعدون سنفور- : 55497775   Sent from my iPhone</t>
        </is>
      </c>
      <c r="E908" s="4" t="inlineStr">
        <is>
          <t>55497775</t>
        </is>
      </c>
    </row>
    <row r="909" ht="18" customHeight="1">
      <c r="A909" s="5">
        <f>?utf-8?B?2KfYrdmF2K8g2KfZhNi52YbYstmK?= &lt;q8sky99@icloud.com&gt;</f>
        <v/>
      </c>
      <c r="B909" s="6" t="inlineStr">
        <is>
          <t>q8sky99@icloud.com</t>
        </is>
      </c>
      <c r="C909" s="5" t="inlineStr"/>
      <c r="D909" s="5" t="inlineStr">
        <is>
          <t>Hello! How can we help you?  Report سعدون - : 55497775   Sent from my iPhone</t>
        </is>
      </c>
      <c r="E909" s="7" t="inlineStr">
        <is>
          <t>55497775</t>
        </is>
      </c>
    </row>
    <row r="910" ht="18" customHeight="1">
      <c r="A910" s="2">
        <f>?utf-8?B?2KfYrdmF2K8g2KfZhNi52YbYstmK?= &lt;q8sky99@icloud.com&gt;</f>
        <v/>
      </c>
      <c r="B910" s="3" t="inlineStr">
        <is>
          <t>q8sky99@icloud.com</t>
        </is>
      </c>
      <c r="C910" s="2" t="inlineStr"/>
      <c r="D910" s="2" t="inlineStr">
        <is>
          <t>Hello! How can we help you?  Report سعدون راشد- : 55497775   Sent from my iPhone</t>
        </is>
      </c>
      <c r="E910" s="4" t="inlineStr">
        <is>
          <t>55497775</t>
        </is>
      </c>
    </row>
    <row r="911" ht="18" customHeight="1">
      <c r="A911" s="5">
        <f>?utf-8?B?2KfYrdmF2K8g2KfZhNi52YbYstmK?= &lt;q8sky99@icloud.com&gt;</f>
        <v/>
      </c>
      <c r="B911" s="6" t="inlineStr">
        <is>
          <t>q8sky99@icloud.com</t>
        </is>
      </c>
      <c r="C911" s="5" t="inlineStr"/>
      <c r="D911" s="5" t="inlineStr">
        <is>
          <t>Hello! How can we help you?  Report سعدون- : 55497775   Sent from my iPhone</t>
        </is>
      </c>
      <c r="E911" s="7" t="inlineStr">
        <is>
          <t>55497775</t>
        </is>
      </c>
    </row>
    <row r="912" ht="18" customHeight="1">
      <c r="A912" s="2">
        <f>?utf-8?B?2KfYrdmF2K8g2KfZhNi52YbYstmK?= &lt;q8sky99@icloud.com&gt;</f>
        <v/>
      </c>
      <c r="B912" s="3" t="inlineStr">
        <is>
          <t>q8sky99@icloud.com</t>
        </is>
      </c>
      <c r="C912" s="2" t="inlineStr"/>
      <c r="D912" s="2" t="inlineStr">
        <is>
          <t>Hello! How can we help you?  Report سعدون راشد- : 55497775   Sent from my iPhone  الاسم خطا</t>
        </is>
      </c>
      <c r="E912" s="4" t="inlineStr">
        <is>
          <t>55497775</t>
        </is>
      </c>
    </row>
    <row r="913" ht="18" customHeight="1">
      <c r="A913" s="5" t="inlineStr">
        <is>
          <t>zooz Zooz &lt;zooz965w@gmail.com&gt;</t>
        </is>
      </c>
      <c r="B913" s="6" t="inlineStr">
        <is>
          <t>zooz965w@gmail.com</t>
        </is>
      </c>
      <c r="C913" s="5" t="inlineStr"/>
      <c r="D913" s="5" t="inlineStr">
        <is>
          <t> </t>
        </is>
      </c>
      <c r="E913" s="7" t="inlineStr"/>
    </row>
    <row r="914" ht="18" customHeight="1">
      <c r="A914" s="2" t="inlineStr">
        <is>
          <t>zooz Zooz &lt;zooz965w@gmail.com&gt;</t>
        </is>
      </c>
      <c r="B914" s="3" t="inlineStr">
        <is>
          <t>zooz965w@gmail.com</t>
        </is>
      </c>
      <c r="C914" s="2" t="inlineStr"/>
      <c r="D914" s="2" t="inlineStr">
        <is>
          <t xml:space="preserve">مسجلين اسم غير لائق على رقمي 90018815 </t>
        </is>
      </c>
      <c r="E914" s="4" t="inlineStr">
        <is>
          <t>90018815</t>
        </is>
      </c>
    </row>
    <row r="915" ht="18" customHeight="1">
      <c r="A915" s="5" t="inlineStr">
        <is>
          <t>Aziz Albarazi &lt;aziz.albarazi@gmail.com&gt;</t>
        </is>
      </c>
      <c r="B915" s="6" t="inlineStr">
        <is>
          <t>aziz.albarazi@gmail.com</t>
        </is>
      </c>
      <c r="C915" s="5">
        <f>?utf-8?B?2KfYs9mFINiu2LfYpw==?=</f>
        <v/>
      </c>
      <c r="D915" s="5" t="inlineStr">
        <is>
          <t>Hello! How can we help you?    هذا لي اسمي ، خطأ ارجو ازالته  Report منو انت - : 60000890   Sent from my iPhone</t>
        </is>
      </c>
      <c r="E915" s="7" t="inlineStr">
        <is>
          <t>60000890</t>
        </is>
      </c>
    </row>
    <row r="916" ht="18" customHeight="1">
      <c r="A916" s="2" t="inlineStr">
        <is>
          <t>Aziz Albarazi &lt;aziz.albarazi@gmail.com&gt;</t>
        </is>
      </c>
      <c r="B916" s="3" t="inlineStr">
        <is>
          <t>aziz.albarazi@gmail.com</t>
        </is>
      </c>
      <c r="C916" s="2">
        <f>?utf-8?B?2KfYs9mFINiu2LfYpw==?=</f>
        <v/>
      </c>
      <c r="D916" s="2" t="inlineStr">
        <is>
          <t>Hello! How can we help you?    هذا اسم خطا ارجو ازالته  Report عزيز المطيري اجاجا- : 60000890   Sent from my iPhone</t>
        </is>
      </c>
      <c r="E916" s="4" t="inlineStr">
        <is>
          <t>60000890</t>
        </is>
      </c>
    </row>
    <row r="917" ht="18" customHeight="1">
      <c r="A917" s="5" t="inlineStr">
        <is>
          <t>Aziz Albarazi &lt;aziz.albarazi@gmail.com&gt;</t>
        </is>
      </c>
      <c r="B917" s="6" t="inlineStr">
        <is>
          <t>aziz.albarazi@gmail.com</t>
        </is>
      </c>
      <c r="C917" s="5">
        <f>?utf-8?B?2KfYs9mFINiu2LfYow==?=</f>
        <v/>
      </c>
      <c r="D917" s="5" t="inlineStr">
        <is>
          <t>Hello! How can we help you?    اسم خطا ارجو ازالته  Report - : 60000890   Sent from my iPhone</t>
        </is>
      </c>
      <c r="E917" s="7" t="inlineStr">
        <is>
          <t>60000890</t>
        </is>
      </c>
    </row>
    <row r="918" ht="18" customHeight="1">
      <c r="A918" s="2" t="inlineStr">
        <is>
          <t>Aziz Albarazi &lt;aziz.albarazi@gmail.com&gt;</t>
        </is>
      </c>
      <c r="B918" s="3" t="inlineStr">
        <is>
          <t>aziz.albarazi@gmail.com</t>
        </is>
      </c>
      <c r="C918" s="2" t="inlineStr">
        <is>
          <t>Wrong name</t>
        </is>
      </c>
      <c r="D918" s="2" t="inlineStr">
        <is>
          <t>Hello! How can we help you?  This is wrong name     Report Az- : 60000890   Sent from my iPhone</t>
        </is>
      </c>
      <c r="E918" s="4" t="inlineStr">
        <is>
          <t>60000890</t>
        </is>
      </c>
    </row>
    <row r="919" ht="18" customHeight="1">
      <c r="A919" s="5" t="inlineStr">
        <is>
          <t>Aziz Albarazi &lt;aziz.albarazi@gmail.com&gt;</t>
        </is>
      </c>
      <c r="B919" s="6" t="inlineStr">
        <is>
          <t>aziz.albarazi@gmail.com</t>
        </is>
      </c>
      <c r="C919" s="5">
        <f>?utf-8?B?2KfYs9mFINiu2LfYpw==?=</f>
        <v/>
      </c>
      <c r="D919" s="5" t="inlineStr">
        <is>
          <t>Hello! How can we help you?    هذا الاسم خطا  Report ااااااااااااااااااء- : 60000890   Sent from my iPhone</t>
        </is>
      </c>
      <c r="E919" s="7" t="inlineStr">
        <is>
          <t>60000890</t>
        </is>
      </c>
    </row>
    <row r="920" ht="18" customHeight="1">
      <c r="A920" s="2">
        <f>?utf-8?B?2LTYp9mH2YrZhiDYp9mE2LjZgdmK2LHZig==?= 	&lt;Shaheen_aldhfeeri1@hotmail.com&gt;</f>
        <v/>
      </c>
      <c r="B920" s="3" t="inlineStr">
        <is>
          <t>Shaheen_aldhfeeri1@hotmail.com</t>
        </is>
      </c>
      <c r="C920" s="2">
        <f>?utf-8?B?2YPZhNin2YUg2KjYsNmK2KE=?=</f>
        <v/>
      </c>
      <c r="D920" s="2" t="inlineStr">
        <is>
          <t xml:space="preserve">﻿ ﻿  Hello! How can we help you?  Report شاهين رفيق الليالي وسباع النعول : 99312224  ‫أُرسلت من الـ iPhone‬ </t>
        </is>
      </c>
      <c r="E920" s="4" t="inlineStr">
        <is>
          <t>99312224</t>
        </is>
      </c>
    </row>
    <row r="921" ht="18" customHeight="1">
      <c r="A921" s="5">
        <f>?utf-8?B?2LTYp9mH2YrZhiDYp9mE2LjZgdmK2LHZig==?= 	&lt;Shaheen_aldhfeeri1@hotmail.com&gt;</f>
        <v/>
      </c>
      <c r="B921" s="6" t="inlineStr">
        <is>
          <t>Shaheen_aldhfeeri1@hotmail.com</t>
        </is>
      </c>
      <c r="C921" s="5">
        <f>?utf-8?B?2YPZhNin2YUg2KjYsNmK2KE=?=</f>
        <v/>
      </c>
      <c r="D921" s="5" t="inlineStr">
        <is>
          <t xml:space="preserve">﻿ ﻿ ﻿  Hello! How can we help you?  Report ولد متناكه : 99312224  ‫أُرسلت من الـ iPhone‬ </t>
        </is>
      </c>
      <c r="E921" s="7" t="inlineStr">
        <is>
          <t>99312224</t>
        </is>
      </c>
    </row>
    <row r="922" ht="18" customHeight="1">
      <c r="A922" s="2">
        <f>?utf-8?B?2LTYp9mH2YrZhiDYp9mE2LjZgdmK2LHZig==?= 	&lt;Shaheen_aldhfeeri1@hotmail.com&gt;</f>
        <v/>
      </c>
      <c r="B922" s="3" t="inlineStr">
        <is>
          <t>Shaheen_aldhfeeri1@hotmail.com</t>
        </is>
      </c>
      <c r="C922" s="2" t="inlineStr"/>
      <c r="D922" s="2" t="inlineStr">
        <is>
          <t xml:space="preserve">Hello! How can we help you?  Report ه مجاني : 99312224  ‫أُرسلت من الـ iPhone‬ </t>
        </is>
      </c>
      <c r="E922" s="4" t="inlineStr">
        <is>
          <t>99312224</t>
        </is>
      </c>
    </row>
    <row r="923" ht="18" customHeight="1">
      <c r="A923" s="5">
        <f>?utf-8?B?2LTYp9mH2YrZhiDYp9mE2LjZgdmK2LHZig==?= 	&lt;Shaheen_aldhfeeri1@hotmail.com&gt;</f>
        <v/>
      </c>
      <c r="B923" s="6" t="inlineStr">
        <is>
          <t>Shaheen_aldhfeeri1@hotmail.com</t>
        </is>
      </c>
      <c r="C923" s="5" t="inlineStr"/>
      <c r="D923" s="5" t="inlineStr">
        <is>
          <t xml:space="preserve">Hello! How can we help you?  Report واحد غبي : 99312224  ‫أُرسلت من الـ iPhone‬ </t>
        </is>
      </c>
      <c r="E923" s="7" t="inlineStr">
        <is>
          <t>99312224</t>
        </is>
      </c>
    </row>
    <row r="924" ht="18" customHeight="1">
      <c r="A924" s="2">
        <f>?utf-8?B?2LTYp9mH2YrZhiDYp9mE2LjZgdmK2LHZig==?= 	&lt;Shaheen_aldhfeeri1@hotmail.com&gt;</f>
        <v/>
      </c>
      <c r="B924" s="3" t="inlineStr">
        <is>
          <t>Shaheen_aldhfeeri1@hotmail.com</t>
        </is>
      </c>
      <c r="C924" s="2" t="inlineStr"/>
      <c r="D924" s="2" t="inlineStr">
        <is>
          <t xml:space="preserve">Hello! How can we help you?  Report شاهين رفيق الليالي وسباع النعول : 99312224  ‫أُرسلت من الـ iPhone‬ </t>
        </is>
      </c>
      <c r="E924" s="4" t="inlineStr">
        <is>
          <t>99312224</t>
        </is>
      </c>
    </row>
    <row r="925" ht="18" customHeight="1">
      <c r="A925" s="5">
        <f>?utf-8?B?2LTYp9mH2YrZhiDYp9mE2LjZgdmK2LHZig==?= 	&lt;Shaheen_aldhfeeri1@hotmail.com&gt;</f>
        <v/>
      </c>
      <c r="B925" s="6" t="inlineStr">
        <is>
          <t>Shaheen_aldhfeeri1@hotmail.com</t>
        </is>
      </c>
      <c r="C925" s="5">
        <f>?utf-8?B?2KfYs9in2KHYqQ==?=</f>
        <v/>
      </c>
      <c r="D925" s="5" t="inlineStr">
        <is>
          <t xml:space="preserve">Hello! How can we help you?  Report ولد متناكه : 99312224  ‫أُرسلت من الـ iPhone‬ </t>
        </is>
      </c>
      <c r="E925" s="7" t="inlineStr">
        <is>
          <t>99312224</t>
        </is>
      </c>
    </row>
    <row r="926" ht="18" customHeight="1">
      <c r="A926" s="2" t="inlineStr">
        <is>
          <t>Waleed Alanzi &lt;jurgenalanzi@yahoo.com&gt;</t>
        </is>
      </c>
      <c r="B926" s="3" t="inlineStr">
        <is>
          <t>jurgenalanzi@yahoo.com</t>
        </is>
      </c>
      <c r="C926" s="2" t="inlineStr"/>
      <c r="D926" s="2" t="inlineStr">
        <is>
          <t>Hello! How can we help you?  Report Waled Alkhalid Algez : 69684448   Sent from my iPhone</t>
        </is>
      </c>
      <c r="E926" s="4" t="inlineStr">
        <is>
          <t>69684448</t>
        </is>
      </c>
    </row>
    <row r="927" ht="18" customHeight="1">
      <c r="A927" s="5" t="inlineStr">
        <is>
          <t>Anoud Alotaibi &lt;anoudalhabbai2@icloud.com&gt;</t>
        </is>
      </c>
      <c r="B927" s="6" t="inlineStr">
        <is>
          <t>anoudalhabbai2@icloud.com</t>
        </is>
      </c>
      <c r="C927" s="5" t="inlineStr"/>
      <c r="D927" s="5" t="inlineStr">
        <is>
          <t>Hello! How can we help you?  مسح  Report عزيز ابو سعود شيشه : 50002055   Sent from my iPhone</t>
        </is>
      </c>
      <c r="E927" s="7" t="inlineStr">
        <is>
          <t>50002055</t>
        </is>
      </c>
    </row>
    <row r="928" ht="18" customHeight="1">
      <c r="A928" s="2" t="inlineStr">
        <is>
          <t>Mohammed Bohuda &lt;kwt.fire.fighter@gmail.com&gt;</t>
        </is>
      </c>
      <c r="B928" s="3" t="inlineStr">
        <is>
          <t>kwt.fire.fighter@gmail.com</t>
        </is>
      </c>
      <c r="C928" s="2" t="inlineStr"/>
      <c r="D928" s="2" t="inlineStr">
        <is>
          <t>Hello! How can we help you?  Report Hanan-Hussain : 55221777   Sent from my iPhone</t>
        </is>
      </c>
      <c r="E928" s="4" t="inlineStr">
        <is>
          <t>55221777</t>
        </is>
      </c>
    </row>
    <row r="929" ht="18" customHeight="1">
      <c r="A929" s="5" t="inlineStr">
        <is>
          <t>Mohammed Bohuda &lt;kwt.fire.fighter@gmail.com&gt;</t>
        </is>
      </c>
      <c r="B929" s="6" t="inlineStr">
        <is>
          <t>kwt.fire.fighter@gmail.com</t>
        </is>
      </c>
      <c r="C929" s="5" t="inlineStr"/>
      <c r="D929" s="5" t="inlineStr">
        <is>
          <t>Hello! How can we help you?  Report ممشى / رانجلر أساسي : 55221777   Sent from my iPhone</t>
        </is>
      </c>
      <c r="E929" s="7" t="inlineStr">
        <is>
          <t>55221777</t>
        </is>
      </c>
    </row>
    <row r="930" ht="18" customHeight="1">
      <c r="A930" s="2" t="inlineStr">
        <is>
          <t>Mohammed Bohuda &lt;kwt.fire.fighter@gmail.com&gt;</t>
        </is>
      </c>
      <c r="B930" s="3" t="inlineStr">
        <is>
          <t>kwt.fire.fighter@gmail.com</t>
        </is>
      </c>
      <c r="C930" s="2" t="inlineStr"/>
      <c r="D930" s="2" t="inlineStr">
        <is>
          <t>Hello! How can we help you?  Report ممشى رانجلر محنج عبود/2 أساسي على قولته : 55221777   Sent from my iPhone</t>
        </is>
      </c>
      <c r="E930" s="4" t="inlineStr">
        <is>
          <t>55221777</t>
        </is>
      </c>
    </row>
    <row r="931" ht="18" customHeight="1">
      <c r="A931" s="5" t="inlineStr">
        <is>
          <t>Fatma Alrashef &lt;fatooota1@gmail.com&gt;</t>
        </is>
      </c>
      <c r="B931" s="6" t="inlineStr">
        <is>
          <t>fatooota1@gmail.com</t>
        </is>
      </c>
      <c r="C931" s="5">
        <f>?utf-8?B?2LfZhNioINit2LDZgSDYsdmC2YU=?=</f>
        <v/>
      </c>
      <c r="D931" s="5" t="inlineStr">
        <is>
          <t>الرجاء حذف رقمي Sent from my iPhone</t>
        </is>
      </c>
      <c r="E931" s="7" t="inlineStr"/>
    </row>
    <row r="932" ht="18" customHeight="1">
      <c r="A932" s="2" t="inlineStr">
        <is>
          <t>Rula &lt;lalee2000@gmail.com&gt;</t>
        </is>
      </c>
      <c r="B932" s="3" t="inlineStr">
        <is>
          <t>lalee2000@gmail.com</t>
        </is>
      </c>
      <c r="C932" s="2" t="inlineStr">
        <is>
          <t>Delete this !!!</t>
        </is>
      </c>
      <c r="D932" s="2" t="inlineStr">
        <is>
          <t xml:space="preserve">Hello! How can we help you?  Report عميله غبيه : 99709900 !!!  </t>
        </is>
      </c>
      <c r="E932" s="4" t="inlineStr">
        <is>
          <t>99709900</t>
        </is>
      </c>
    </row>
    <row r="933" ht="18" customHeight="1">
      <c r="A933" s="5">
        <f>?utf-8?B?2YHZiti12YQg2YbYp9is2Yo=?= &lt;faisal_naji93@yahoo.com&gt;</f>
        <v/>
      </c>
      <c r="B933" s="6" t="inlineStr">
        <is>
          <t>faisal_naji93@yahoo.com</t>
        </is>
      </c>
      <c r="C933" s="5" t="inlineStr"/>
      <c r="D933" s="5" t="inlineStr">
        <is>
          <t>Hello! How can we help you?  Report مهندس كربلاء : 66393609   Sent from my iPhone</t>
        </is>
      </c>
      <c r="E933" s="7" t="inlineStr">
        <is>
          <t>66393609</t>
        </is>
      </c>
    </row>
    <row r="934" ht="18" customHeight="1">
      <c r="A934" s="2">
        <f>?utf-8?B?2KfZhNmF2YfZhtiv2LM=?= &lt;kuwaitfirst13@yahoo.com&gt;</f>
        <v/>
      </c>
      <c r="B934" s="3" t="inlineStr">
        <is>
          <t>kuwaitfirst13@yahoo.com</t>
        </is>
      </c>
      <c r="C934" s="2">
        <f>?utf-8?B?2LfZhNioINit2LDZgSDYsdmC2YU=?=</f>
        <v/>
      </c>
      <c r="D934" s="2" t="inlineStr">
        <is>
          <t>الرجاء موقعكم يظهر رقمي وعليه عبارات مسيئه لي برجاء الغاء رقمي او عمل بلوك له او عدم اظهار النتائج البحث عنه او حذف رقمي  رقمي هو : 99838457  ‏🌹مع اجمل تحياتي 🌹                      المهندس</t>
        </is>
      </c>
      <c r="E934" s="4" t="inlineStr">
        <is>
          <t>99838457</t>
        </is>
      </c>
    </row>
    <row r="935" ht="18" customHeight="1">
      <c r="A935" s="5" t="inlineStr">
        <is>
          <t>Diya Kabbani &lt;diya_k@icloud.com&gt;</t>
        </is>
      </c>
      <c r="B935" s="6" t="inlineStr">
        <is>
          <t>diya_k@icloud.com</t>
        </is>
      </c>
      <c r="C935" s="5">
        <f>?utf-8?B?2KfZhNin2LPZhSDZgdmKINi52YbZiNin2YYg2KfZhNiz2YPZhiA=?=  =?utf-8?B?2YjZh9iw2Kcg2KfZhtiq2YfYp9mDINmE2YTYrti12YjYtdmK2Kkg?=  =?utf-8?B?2YrYp9ix2YrYqiDYqtmF2LPYrdmI2YbZhyA=?=</f>
        <v/>
      </c>
      <c r="D935" s="5" t="inlineStr">
        <is>
          <t>Hello! How can we help you?  Report علي زبون عبدالله السالم ش نصف اليوسف النصف ق1 م 12 : 50481787   Sent from my iPhone</t>
        </is>
      </c>
      <c r="E935" s="7" t="inlineStr">
        <is>
          <t>50481787</t>
        </is>
      </c>
    </row>
    <row r="936" ht="18" customHeight="1">
      <c r="A936" s="2" t="inlineStr">
        <is>
          <t>Cjgy Fhvv &lt;il7zen@icloud.com&gt;</t>
        </is>
      </c>
      <c r="B936" s="3" t="inlineStr">
        <is>
          <t>il7zen@icloud.com</t>
        </is>
      </c>
      <c r="C936" s="2">
        <f>?utf-8?B?2KfYs9mFINmF2LPZitihIA==?=</f>
        <v/>
      </c>
      <c r="D936" s="2" t="inlineStr">
        <is>
          <t>Hello! How can we help you?  Report بشاير بنت زكيه : 62224609   ‫أُرسلت من الـ iPhone‬</t>
        </is>
      </c>
      <c r="E936" s="4" t="inlineStr">
        <is>
          <t>62224609</t>
        </is>
      </c>
    </row>
    <row r="937" ht="18" customHeight="1">
      <c r="A937" s="5" t="inlineStr">
        <is>
          <t>M Al &lt;alm19470@gmail.com&gt;</t>
        </is>
      </c>
      <c r="B937" s="6" t="inlineStr">
        <is>
          <t>alm19470@gmail.com</t>
        </is>
      </c>
      <c r="C937" s="5" t="inlineStr"/>
      <c r="D937" s="5" t="inlineStr">
        <is>
          <t xml:space="preserve">مهدي مرزوق الصندلي </t>
        </is>
      </c>
      <c r="E937" s="7" t="inlineStr"/>
    </row>
    <row r="938" ht="18" customHeight="1">
      <c r="A938" s="2" t="inlineStr">
        <is>
          <t>Aljory alnuwaif &lt;algory.1990@icloud.com&gt;</t>
        </is>
      </c>
      <c r="B938" s="3" t="inlineStr">
        <is>
          <t>algory.1990@icloud.com</t>
        </is>
      </c>
      <c r="C938" s="2" t="inlineStr"/>
      <c r="D938" s="2" t="inlineStr">
        <is>
          <t>Hello! How can we help you?  Report Maha Gawada- : 66172233   Sent from my iPhone</t>
        </is>
      </c>
      <c r="E938" s="4" t="inlineStr">
        <is>
          <t>66172233</t>
        </is>
      </c>
    </row>
    <row r="939" ht="18" customHeight="1">
      <c r="A939" s="5" t="inlineStr">
        <is>
          <t>Aljory alnuwaif &lt;algory.1990@icloud.com&gt;</t>
        </is>
      </c>
      <c r="B939" s="6" t="inlineStr">
        <is>
          <t>algory.1990@icloud.com</t>
        </is>
      </c>
      <c r="C939" s="5" t="inlineStr"/>
      <c r="D939" s="5" t="inlineStr">
        <is>
          <t>Hello! How can we help you?  Report Maha Gawada- : 66172233   Sent from my iPhone</t>
        </is>
      </c>
      <c r="E939" s="7" t="inlineStr">
        <is>
          <t>66172233</t>
        </is>
      </c>
    </row>
    <row r="940" ht="18" customHeight="1">
      <c r="A940" s="2" t="inlineStr">
        <is>
          <t>Aljory alnuwaif &lt;algory.1990@icloud.com&gt;</t>
        </is>
      </c>
      <c r="B940" s="3" t="inlineStr">
        <is>
          <t>algory.1990@icloud.com</t>
        </is>
      </c>
      <c r="C940" s="2" t="inlineStr"/>
      <c r="D940" s="2" t="inlineStr">
        <is>
          <t>Hello! How can we help you?  Report Maha Gawada- : 66172233   Sent from my iPhone</t>
        </is>
      </c>
      <c r="E940" s="4" t="inlineStr">
        <is>
          <t>66172233</t>
        </is>
      </c>
    </row>
    <row r="941" ht="18" customHeight="1">
      <c r="A941" s="5" t="inlineStr">
        <is>
          <t>Aljory alnuwaif &lt;algory.1990@icloud.com&gt;</t>
        </is>
      </c>
      <c r="B941" s="6" t="inlineStr">
        <is>
          <t>algory.1990@icloud.com</t>
        </is>
      </c>
      <c r="C941" s="5" t="inlineStr"/>
      <c r="D941" s="5" t="inlineStr">
        <is>
          <t>Hello! How can we help you?  Report Maha Gawada- : 66172233   Sent from my iPhone</t>
        </is>
      </c>
      <c r="E941" s="7" t="inlineStr">
        <is>
          <t>66172233</t>
        </is>
      </c>
    </row>
    <row r="942" ht="18" customHeight="1">
      <c r="A942" s="2" t="inlineStr">
        <is>
          <t>Mohammad Eqraieet &lt;q1_q6@hotmail.com&gt;</t>
        </is>
      </c>
      <c r="B942" s="3" t="inlineStr">
        <is>
          <t>q1_q6@hotmail.com</t>
        </is>
      </c>
      <c r="C942" s="2">
        <f>?utf-8?B?2KfYsdis2Ygg2YXYs9itINin2YTZiNi12YE=?=</f>
        <v/>
      </c>
      <c r="D942" s="2" t="inlineStr">
        <is>
          <t xml:space="preserve">Hello! How can we help you?  Report Q8 Food Q8 : 97939844  ‫أُرسلت من الـ iPhone‬ </t>
        </is>
      </c>
      <c r="E942" s="4" t="inlineStr">
        <is>
          <t>97939844</t>
        </is>
      </c>
    </row>
    <row r="943" ht="18" customHeight="1">
      <c r="A943" s="5" t="inlineStr">
        <is>
          <t>Mohammad Eqraieet &lt;q1_q6@hotmail.com&gt;</t>
        </is>
      </c>
      <c r="B943" s="6" t="inlineStr">
        <is>
          <t>q1_q6@hotmail.com</t>
        </is>
      </c>
      <c r="C943" s="5">
        <f>?utf-8?B?2KfYsdis2Ygg2YXYs9itINin2YTZiNi12YEg2YTZhNiu2LXZiNi12YrYqQ==?=</f>
        <v/>
      </c>
      <c r="D943" s="5" t="inlineStr">
        <is>
          <t xml:space="preserve">Hello! How can we help you?  Report Q8foodq8 : 97939844  ‫أُرسلت من الـ iPhone‬ </t>
        </is>
      </c>
      <c r="E943" s="7" t="inlineStr">
        <is>
          <t>97939844</t>
        </is>
      </c>
    </row>
    <row r="944" ht="18" customHeight="1">
      <c r="A944" s="2" t="inlineStr">
        <is>
          <t>Sa3ad Almutairi &lt;sa3adov@icloud.com&gt;</t>
        </is>
      </c>
      <c r="B944" s="3" t="inlineStr">
        <is>
          <t>sa3adov@icloud.com</t>
        </is>
      </c>
      <c r="C944" s="2" t="inlineStr"/>
      <c r="D944" s="2" t="inlineStr">
        <is>
          <t>Hello! How can we help you?  Report سوبر 2005- : 94469969   Sent from my iPhone</t>
        </is>
      </c>
      <c r="E944" s="4" t="inlineStr">
        <is>
          <t>94469969</t>
        </is>
      </c>
    </row>
    <row r="945" ht="18" customHeight="1">
      <c r="A945" s="5" t="inlineStr">
        <is>
          <t>Sa3ad Almutairi &lt;sa3adov@icloud.com&gt;</t>
        </is>
      </c>
      <c r="B945" s="6" t="inlineStr">
        <is>
          <t>sa3adov@icloud.com</t>
        </is>
      </c>
      <c r="C945" s="5" t="inlineStr"/>
      <c r="D945" s="5" t="inlineStr">
        <is>
          <t>Hello! How can we help you?  Report سعد مزاد : 94469969   Sent from my iPhone</t>
        </is>
      </c>
      <c r="E945" s="7" t="inlineStr">
        <is>
          <t>94469969</t>
        </is>
      </c>
    </row>
    <row r="946" ht="18" customHeight="1">
      <c r="A946" s="2" t="inlineStr">
        <is>
          <t>bndr M &lt;bndr_4u@icloud.com&gt;</t>
        </is>
      </c>
      <c r="B946" s="3" t="inlineStr">
        <is>
          <t>bndr_4u@icloud.com</t>
        </is>
      </c>
      <c r="C946" s="2">
        <f>?utf-8?B?2KfYs9mFINi62LHZitioINi62YrYsSDZhdix2LrZiNioINmB2Yo=?=  =?utf-8?B?2Yc=?=</f>
        <v/>
      </c>
      <c r="D946" s="2" t="inlineStr">
        <is>
          <t>Hello! How can we help you?  هذا الشخص مسجلي بأسم غريب غير مرغوب فيه يرجا مسح الاسم وشكراً  Report خنزر- : 69968999   ‫أُرسلت من الـ iPhone‬</t>
        </is>
      </c>
      <c r="E946" s="4" t="inlineStr">
        <is>
          <t>69968999</t>
        </is>
      </c>
    </row>
    <row r="947" ht="18" customHeight="1">
      <c r="A947" s="5" t="inlineStr">
        <is>
          <t>bndr M &lt;bndr_4u@icloud.com&gt;</t>
        </is>
      </c>
      <c r="B947" s="6" t="inlineStr">
        <is>
          <t>bndr_4u@icloud.com</t>
        </is>
      </c>
      <c r="C947" s="5">
        <f>?utf-8?B?2YfYsNinINin2YTYtNiu2LUg2YXYs9is2YQg2LHZgtmF2Yog2Kg=?=  =?utf-8?B?2KPYs9mFINio2YbYqg==?=</f>
        <v/>
      </c>
      <c r="D947" s="5" t="inlineStr">
        <is>
          <t>Hello! How can we help you?  سلام عليكم ارجو منكم مسح هذا الاسم ( لتفادي المشاكل العائليه ) شخص مسجلي بأسم بنت  ارجوووكم امسحووووه وشكراً  Report البندري الهاجري- : 69968999   ‫أُرسلت من الـ iPhone‬</t>
        </is>
      </c>
      <c r="E947" s="7" t="inlineStr">
        <is>
          <t>69968999</t>
        </is>
      </c>
    </row>
    <row r="948" ht="18" customHeight="1">
      <c r="A948" s="2" t="inlineStr">
        <is>
          <t>bndr M &lt;bndr_4u@icloud.com&gt;</t>
        </is>
      </c>
      <c r="B948" s="3" t="inlineStr">
        <is>
          <t>bndr_4u@icloud.com</t>
        </is>
      </c>
      <c r="C948" s="2">
        <f>?utf-8?B?2YfYsNinINin2YTYtNiu2LUg2YXYs9is2YQg2LHZgtmF2Yog2Kg=?=  =?utf-8?B?2KPYs9mFINio2YbYqg==?=</f>
        <v/>
      </c>
      <c r="D948" s="2" t="inlineStr">
        <is>
          <t>Hello! How can we help you?  سلام عليكم  ارجو منكم مسح هذا الاسم ( البندري الهاجري ) لتفادي المشاكل العائليه .. لان هذا الشخص مسجلي بأسم فتاة .. ارجوكم امسحوووووه وشكراً  Report بندرماجد- : 69968999   ‫أُرسلت من الـ iPhone‬</t>
        </is>
      </c>
      <c r="E948" s="4" t="inlineStr">
        <is>
          <t>69968999</t>
        </is>
      </c>
    </row>
    <row r="949" ht="18" customHeight="1">
      <c r="A949" s="5" t="inlineStr">
        <is>
          <t>Hanan Alonaizi &lt;miss_naniii@icloud.com&gt;</t>
        </is>
      </c>
      <c r="B949" s="6" t="inlineStr">
        <is>
          <t>miss_naniii@icloud.com</t>
        </is>
      </c>
      <c r="C949" s="5" t="inlineStr">
        <is>
          <t xml:space="preserve">Insulation </t>
        </is>
      </c>
      <c r="D949" s="5" t="inlineStr">
        <is>
          <t>Hello! How can we help you?  Report مهند فاروق ابليس ابو يوسف : 97733369   Sent from my iPhone</t>
        </is>
      </c>
      <c r="E949" s="7" t="inlineStr">
        <is>
          <t>97733369</t>
        </is>
      </c>
    </row>
    <row r="950" ht="18" customHeight="1">
      <c r="A950" s="2">
        <f>?utf-8?B?2KfYqNix2KfZh9mK2YUg2KfZhNiu2KfZhNiv2Yo=?= 	&lt;ku1980@outlook.com&gt;</f>
        <v/>
      </c>
      <c r="B950" s="3" t="inlineStr">
        <is>
          <t>ku1980@outlook.com</t>
        </is>
      </c>
      <c r="C950" s="2">
        <f>?utf-8?B?2LrZitixINi12K3ZititINin2YTYp9iz2YUg?=</f>
        <v/>
      </c>
      <c r="D950" s="2" t="inlineStr">
        <is>
          <t xml:space="preserve">Hello! How can we help you?  Report ابومحسن حديد مخلص- : 50266624  أُرسلت </t>
        </is>
      </c>
      <c r="E950" s="4" t="inlineStr">
        <is>
          <t>50266624</t>
        </is>
      </c>
    </row>
    <row r="951" ht="18" customHeight="1">
      <c r="A951" s="5">
        <f>?utf-8?B?2KfYqNix2KfZh9mK2YUg2KfZhNiu2KfZhNiv2Yo=?= 	&lt;ku1980@outlook.com&gt;</f>
        <v/>
      </c>
      <c r="B951" s="6" t="inlineStr">
        <is>
          <t>ku1980@outlook.com</t>
        </is>
      </c>
      <c r="C951" s="5">
        <f>?utf-8?B?2LrZitixINi12K3Zitit?=</f>
        <v/>
      </c>
      <c r="D951" s="5" t="inlineStr">
        <is>
          <t xml:space="preserve">Hello! How can we help you?  Report ابراهيم العجمي : 50266624  أُرسلت </t>
        </is>
      </c>
      <c r="E951" s="7" t="inlineStr">
        <is>
          <t>50266624</t>
        </is>
      </c>
    </row>
    <row r="952" ht="18" customHeight="1">
      <c r="A952" s="2" t="inlineStr">
        <is>
          <t>"Dr. altourah" &lt;altourah-q8@hotmail.com&gt;</t>
        </is>
      </c>
      <c r="B952" s="3" t="inlineStr">
        <is>
          <t>altourah-q8@hotmail.com</t>
        </is>
      </c>
      <c r="C952" s="2">
        <f>?utf-8?B?2KfZhNix2KzYp9ihINit2LDZgSDYp9mE2KfYs9mFIA==?=</f>
        <v/>
      </c>
      <c r="D952" s="2" t="inlineStr">
        <is>
          <t xml:space="preserve">الرجاء حذف الاسم  Hello! How can we help you?  الرجاء حذف الاسم  Report عبدالعزيز حاكم السبيعي 11 علمي منازل : 97474744  Sent from my iPhone </t>
        </is>
      </c>
      <c r="E952" s="4" t="inlineStr">
        <is>
          <t>97474744</t>
        </is>
      </c>
    </row>
    <row r="953" ht="18" customHeight="1">
      <c r="A953" s="5">
        <f>?utf-8?B?2KfZhNmA2YDZiNiq2YDZgNmK2YDZhg==?= &lt;a.al3nzyaq8@gmail.com&gt;</f>
        <v/>
      </c>
      <c r="B953" s="6" t="inlineStr">
        <is>
          <t>a.al3nzyaq8@gmail.com</t>
        </is>
      </c>
      <c r="C953" s="5">
        <f>?utf-8?Q?=D8=A7=D8=B1=D8=AC=D9=88_=D8=AD=D8=B0=D9=81_=D8=B1?=  =?utf-8?Q?=D9=82=D9=85=D9=8A_=D9=85=D9=86_=D9=85=D9=86=D9=88_?=  =?utf-8?Q?=D8=AF=D8=A7=D9=82_66837847?=</f>
        <v/>
      </c>
      <c r="D953" s="5" t="inlineStr">
        <is>
          <t>Hello! How can we help you?  Report تامرصاحب : 66837847   ‫أُرسلت من الـ iPhone‬</t>
        </is>
      </c>
      <c r="E953" s="7" t="inlineStr">
        <is>
          <t>66837847</t>
        </is>
      </c>
    </row>
    <row r="954" ht="18" customHeight="1">
      <c r="A954" s="2">
        <f>?utf-8?B?2LnYqNiv2KfZhNmE2Ycg2KfZhNmC2K3Yt9in2YbZig==?= &lt;abdullah_s1997@icloud.com&gt;</f>
        <v/>
      </c>
      <c r="B954" s="3" t="inlineStr">
        <is>
          <t>abdullah_s1997@icloud.com</t>
        </is>
      </c>
      <c r="C954" s="2" t="inlineStr"/>
      <c r="D954" s="2" t="inlineStr">
        <is>
          <t>Hello! How can we help you?  Report عبدالله قحطاني صديق عيالي- : 60601181    Sent from my iPhone</t>
        </is>
      </c>
      <c r="E954" s="4" t="inlineStr">
        <is>
          <t>60601181</t>
        </is>
      </c>
    </row>
    <row r="955" ht="18" customHeight="1">
      <c r="A955" s="5" t="inlineStr">
        <is>
          <t>Fatma Al Sharrad &lt;fatma.alsharrad96@hotmail.com&gt;</t>
        </is>
      </c>
      <c r="B955" s="6" t="inlineStr">
        <is>
          <t>fatma.alsharrad96@hotmail.com</t>
        </is>
      </c>
      <c r="C955" s="5" t="inlineStr"/>
      <c r="D955" s="5" t="inlineStr">
        <is>
          <t xml:space="preserve">Hello! How can we help you?  Report caffeinated.965 : 66607371  Sent from my iPhone </t>
        </is>
      </c>
      <c r="E955" s="7" t="inlineStr">
        <is>
          <t>66607371</t>
        </is>
      </c>
    </row>
    <row r="956" ht="18" customHeight="1">
      <c r="A956" s="2" t="inlineStr">
        <is>
          <t>Fatma Al Sharrad &lt;fatma.alsharrad96@hotmail.com&gt;</t>
        </is>
      </c>
      <c r="B956" s="3" t="inlineStr">
        <is>
          <t>fatma.alsharrad96@hotmail.com</t>
        </is>
      </c>
      <c r="C956" s="2" t="inlineStr"/>
      <c r="D956" s="2" t="inlineStr">
        <is>
          <t xml:space="preserve">Hello! How can we help you?  Report Alsoda : 66607371  Sent from my iPhone </t>
        </is>
      </c>
      <c r="E956" s="4" t="inlineStr">
        <is>
          <t>66607371</t>
        </is>
      </c>
    </row>
    <row r="957" ht="18" customHeight="1">
      <c r="A957" s="5" t="inlineStr">
        <is>
          <t>Mariam Alkhaldi &lt;nznznjj@hotmail.com&gt;</t>
        </is>
      </c>
      <c r="B957" s="6" t="inlineStr">
        <is>
          <t>nznznjj@hotmail.com</t>
        </is>
      </c>
      <c r="C957" s="5">
        <f>?utf-8?B?2KfYs9in2KHYqQ==?=</f>
        <v/>
      </c>
      <c r="D957" s="5" t="inlineStr">
        <is>
          <t xml:space="preserve">Hello! How can we help you?  Report ققققققققققق : 66203385  ‫أُرسلت من الـ iPhone‬ </t>
        </is>
      </c>
      <c r="E957" s="7" t="inlineStr">
        <is>
          <t>66203385</t>
        </is>
      </c>
    </row>
    <row r="958" ht="18" customHeight="1">
      <c r="A958" s="2" t="inlineStr">
        <is>
          <t>aa AA &lt;al_amanii_q8@hotmail.com&gt;</t>
        </is>
      </c>
      <c r="B958" s="3" t="inlineStr">
        <is>
          <t>al_amanii_q8@hotmail.com</t>
        </is>
      </c>
      <c r="C958" s="2">
        <f>?utf-8?B?2KfZhdiz2K0g2YfYsNinINin2YTYp9iz2YUg?=</f>
        <v/>
      </c>
      <c r="D958" s="2" t="inlineStr">
        <is>
          <t xml:space="preserve">Hello! How can we help you?  Report جيوجيبرا2 : 96600210  مع تحياتي me✌🏽️ </t>
        </is>
      </c>
      <c r="E958" s="4" t="inlineStr">
        <is>
          <t>96600210</t>
        </is>
      </c>
    </row>
    <row r="959" ht="18" customHeight="1">
      <c r="A959" s="5" t="inlineStr">
        <is>
          <t>aa AA &lt;al_amanii_q8@hotmail.com&gt;</t>
        </is>
      </c>
      <c r="B959" s="6" t="inlineStr">
        <is>
          <t>al_amanii_q8@hotmail.com</t>
        </is>
      </c>
      <c r="C959" s="5">
        <f>?utf-8?B?2KfZhdiz2K0g2YfYsNinINin2YTYp9iz2YUg?=</f>
        <v/>
      </c>
      <c r="D959" s="5" t="inlineStr">
        <is>
          <t xml:space="preserve">Hello! How can we help you?  Report ام فاضل : 96600210  مع تحياتي me✌🏽️ </t>
        </is>
      </c>
      <c r="E959" s="7" t="inlineStr">
        <is>
          <t>96600210</t>
        </is>
      </c>
    </row>
    <row r="960" ht="18" customHeight="1">
      <c r="A960" s="2" t="inlineStr">
        <is>
          <t>aa AA &lt;al_amanii_q8@hotmail.com&gt;</t>
        </is>
      </c>
      <c r="B960" s="3" t="inlineStr">
        <is>
          <t>al_amanii_q8@hotmail.com</t>
        </is>
      </c>
      <c r="C960" s="2">
        <f>?utf-8?B?2KfZhdiz2K0g2YfYsNinINin2YTYp9iz2YUg?=</f>
        <v/>
      </c>
      <c r="D960" s="2" t="inlineStr">
        <is>
          <t xml:space="preserve">Hello! How can we help you?  Report ام فاضل ابله اليابان : 96600210  مع تحياتي me✌🏽️ </t>
        </is>
      </c>
      <c r="E960" s="4" t="inlineStr">
        <is>
          <t>96600210</t>
        </is>
      </c>
    </row>
    <row r="961" ht="18" customHeight="1">
      <c r="A961" s="5" t="inlineStr">
        <is>
          <t>aa AA &lt;al_amanii_q8@hotmail.com&gt;</t>
        </is>
      </c>
      <c r="B961" s="6" t="inlineStr">
        <is>
          <t>al_amanii_q8@hotmail.com</t>
        </is>
      </c>
      <c r="C961" s="5">
        <f>?utf-8?B?2KfZhdiz2K0g2YfYsNinINin2YTYp9iz2YUg?=</f>
        <v/>
      </c>
      <c r="D961" s="5" t="inlineStr">
        <is>
          <t xml:space="preserve">Hello! How can we help you?  Report آمنه الشبو رياضيات ام المرادم : 96600210  مع تحياتي me✌🏽️ </t>
        </is>
      </c>
      <c r="E961" s="7" t="inlineStr">
        <is>
          <t>96600210</t>
        </is>
      </c>
    </row>
    <row r="962" ht="18" customHeight="1">
      <c r="A962" s="2" t="inlineStr">
        <is>
          <t>saleh alhazaa &lt;alhaza3.q8@gmail.com&gt;</t>
        </is>
      </c>
      <c r="B962" s="3" t="inlineStr">
        <is>
          <t>alhaza3.q8@gmail.com</t>
        </is>
      </c>
      <c r="C962" s="2" t="inlineStr"/>
      <c r="D962" s="2" t="inlineStr">
        <is>
          <t>Hello! How can we help you?  Report ☞7byYBy ♡ : 55504742   ‫أُرسلت من الـ iPhone‬</t>
        </is>
      </c>
      <c r="E962" s="4" t="inlineStr">
        <is>
          <t>55504742</t>
        </is>
      </c>
    </row>
    <row r="963" ht="18" customHeight="1">
      <c r="A963" s="5" t="inlineStr">
        <is>
          <t>aa AA &lt;al_amanii_q8@hotmail.com&gt;</t>
        </is>
      </c>
      <c r="B963" s="6" t="inlineStr">
        <is>
          <t>al_amanii_q8@hotmail.com</t>
        </is>
      </c>
      <c r="C963" s="5">
        <f>?utf-8?B?2KfZhdiz2K0g2YfYsNinINin2YTYp9iz2YUg?=</f>
        <v/>
      </c>
      <c r="D963" s="5" t="inlineStr">
        <is>
          <t xml:space="preserve">Hello! How can we help you?  Report آمنه مرزوق بن شبو : 96600210  مع تحياتي me✌🏽️ </t>
        </is>
      </c>
      <c r="E963" s="7" t="inlineStr">
        <is>
          <t>96600210</t>
        </is>
      </c>
    </row>
    <row r="964" ht="18" customHeight="1">
      <c r="A964" s="2" t="inlineStr">
        <is>
          <t>saleh alhazaa &lt;alhaza3.q8@gmail.com&gt;</t>
        </is>
      </c>
      <c r="B964" s="3" t="inlineStr">
        <is>
          <t>alhaza3.q8@gmail.com</t>
        </is>
      </c>
      <c r="C964" s="2" t="inlineStr"/>
      <c r="D964" s="2" t="inlineStr">
        <is>
          <t>Hello! How can we help you?  Report صالح يويل حالي ❤️ : 55504742   ‫أُرسلت من الـ iPhone‬</t>
        </is>
      </c>
      <c r="E964" s="4" t="inlineStr">
        <is>
          <t>55504742</t>
        </is>
      </c>
    </row>
    <row r="965" ht="18" customHeight="1">
      <c r="A965" s="5" t="inlineStr">
        <is>
          <t>aa AA &lt;al_amanii_q8@hotmail.com&gt;</t>
        </is>
      </c>
      <c r="B965" s="6" t="inlineStr">
        <is>
          <t>al_amanii_q8@hotmail.com</t>
        </is>
      </c>
      <c r="C965" s="5">
        <f>?utf-8?B?2KfZhdiz2K0g2YfYsNinINin2YTYp9iz2YUg?=</f>
        <v/>
      </c>
      <c r="D965" s="5" t="inlineStr">
        <is>
          <t xml:space="preserve">Hello! How can we help you?  Report آمنه مرزوق الشبو : 96600210  مع تحياتي me✌🏽️ </t>
        </is>
      </c>
      <c r="E965" s="7" t="inlineStr">
        <is>
          <t>96600210</t>
        </is>
      </c>
    </row>
    <row r="966" ht="18" customHeight="1">
      <c r="A966" s="2" t="inlineStr">
        <is>
          <t>aa AA &lt;al_amanii_q8@hotmail.com&gt;</t>
        </is>
      </c>
      <c r="B966" s="3" t="inlineStr">
        <is>
          <t>al_amanii_q8@hotmail.com</t>
        </is>
      </c>
      <c r="C966" s="2">
        <f>?utf-8?B?2KfZhdiz2K0g2YfYsNinINin2YTYp9iz2YUg?=</f>
        <v/>
      </c>
      <c r="D966" s="2" t="inlineStr">
        <is>
          <t xml:space="preserve">Hello! How can we help you?  Report 96600210 آمنه الشبو : 96600210  مع تحياتي me✌🏽️ </t>
        </is>
      </c>
      <c r="E966" s="4" t="inlineStr">
        <is>
          <t>96600210</t>
        </is>
      </c>
    </row>
    <row r="967" ht="18" customHeight="1">
      <c r="A967" s="5" t="inlineStr">
        <is>
          <t>aa AA &lt;al_amanii_q8@hotmail.com&gt;</t>
        </is>
      </c>
      <c r="B967" s="6" t="inlineStr">
        <is>
          <t>al_amanii_q8@hotmail.com</t>
        </is>
      </c>
      <c r="C967" s="5">
        <f>?utf-8?B?2KfZhdiz2K0g2YfYsNinINin2YTYp9iz2YUg?=</f>
        <v/>
      </c>
      <c r="D967" s="5" t="inlineStr">
        <is>
          <t xml:space="preserve">Hello! How can we help you?  Report مشعل اغزم : 96600210  مع تحياتي me✌🏽️ </t>
        </is>
      </c>
      <c r="E967" s="7" t="inlineStr">
        <is>
          <t>96600210</t>
        </is>
      </c>
    </row>
    <row r="968" ht="18" customHeight="1">
      <c r="A968" s="2" t="inlineStr">
        <is>
          <t>saleh alhazaa &lt;alhaza3.q8@gmail.com&gt;</t>
        </is>
      </c>
      <c r="B968" s="3" t="inlineStr">
        <is>
          <t>alhaza3.q8@gmail.com</t>
        </is>
      </c>
      <c r="C968" s="2" t="inlineStr"/>
      <c r="D968" s="2" t="inlineStr">
        <is>
          <t>Hello! How can we help you?  Report جراند مزس صلوح هزاع2 : 55504742   ‫أُرسلت من الـ iPhone‬</t>
        </is>
      </c>
      <c r="E968" s="4" t="inlineStr">
        <is>
          <t>55504742</t>
        </is>
      </c>
    </row>
    <row r="969" ht="18" customHeight="1">
      <c r="A969" s="5" t="inlineStr">
        <is>
          <t>aa AA &lt;al_amanii_q8@hotmail.com&gt;</t>
        </is>
      </c>
      <c r="B969" s="6" t="inlineStr">
        <is>
          <t>al_amanii_q8@hotmail.com</t>
        </is>
      </c>
      <c r="C969" s="5">
        <f>?utf-8?B?2KfZhdiz2K0g2YfYsNinINin2YTYp9iz2YUg?=</f>
        <v/>
      </c>
      <c r="D969" s="5" t="inlineStr">
        <is>
          <t xml:space="preserve">Hello! How can we help you?  Report آمنة الشبو : 96600210  مع تحياتي me✌🏽️ </t>
        </is>
      </c>
      <c r="E969" s="7" t="inlineStr">
        <is>
          <t>96600210</t>
        </is>
      </c>
    </row>
    <row r="970" ht="18" customHeight="1">
      <c r="A970" s="2" t="inlineStr">
        <is>
          <t>aa AA &lt;al_amanii_q8@hotmail.com&gt;</t>
        </is>
      </c>
      <c r="B970" s="3" t="inlineStr">
        <is>
          <t>al_amanii_q8@hotmail.com</t>
        </is>
      </c>
      <c r="C970" s="2">
        <f>?utf-8?B?2KfZhdiz2K0g2YfYsNinINin2YTYp9iz2YUg?=</f>
        <v/>
      </c>
      <c r="D970" s="2" t="inlineStr">
        <is>
          <t xml:space="preserve">Hello! How can we help you?  Report آمنه الشبو رياضيات : 96600210  مع تحياتي me✌🏽️ </t>
        </is>
      </c>
      <c r="E970" s="4" t="inlineStr">
        <is>
          <t>96600210</t>
        </is>
      </c>
    </row>
    <row r="971" ht="18" customHeight="1">
      <c r="A971" s="5" t="inlineStr">
        <is>
          <t>aa AA &lt;al_amanii_q8@hotmail.com&gt;</t>
        </is>
      </c>
      <c r="B971" s="6" t="inlineStr">
        <is>
          <t>al_amanii_q8@hotmail.com</t>
        </is>
      </c>
      <c r="C971" s="5">
        <f>?utf-8?B?2KfZhdiz2K0g2YfYsNinINin2YTYp9iz2YUg?=</f>
        <v/>
      </c>
      <c r="D971" s="5" t="inlineStr">
        <is>
          <t xml:space="preserve">Hello! How can we help you?  Report قصور 33/9/2 : 96600210  مع تحياتي me✌🏽️ </t>
        </is>
      </c>
      <c r="E971" s="7" t="inlineStr">
        <is>
          <t>96600210</t>
        </is>
      </c>
    </row>
    <row r="972" ht="18" customHeight="1">
      <c r="A972" s="2" t="inlineStr">
        <is>
          <t>saleh alhazaa &lt;alhaza3.q8@gmail.com&gt;</t>
        </is>
      </c>
      <c r="B972" s="3" t="inlineStr">
        <is>
          <t>alhaza3.q8@gmail.com</t>
        </is>
      </c>
      <c r="C972" s="2" t="inlineStr"/>
      <c r="D972" s="2" t="inlineStr">
        <is>
          <t>Hello! How can we help you?  Report ام ص : 55504742   ‫أُرسلت من الـ iPhone‬</t>
        </is>
      </c>
      <c r="E972" s="4" t="inlineStr">
        <is>
          <t>55504742</t>
        </is>
      </c>
    </row>
    <row r="973" ht="18" customHeight="1">
      <c r="A973" s="5" t="inlineStr">
        <is>
          <t>aa AA &lt;al_amanii_q8@hotmail.com&gt;</t>
        </is>
      </c>
      <c r="B973" s="6" t="inlineStr">
        <is>
          <t>al_amanii_q8@hotmail.com</t>
        </is>
      </c>
      <c r="C973" s="5">
        <f>?utf-8?B?2KfZhdiz2K0g2YfYsNinINin2YTYp9iz2YUg?=</f>
        <v/>
      </c>
      <c r="D973" s="5" t="inlineStr">
        <is>
          <t xml:space="preserve">Hello! How can we help you?  Report آمنه الشبو- : 96600210  مع تحياتي me✌🏽️ </t>
        </is>
      </c>
      <c r="E973" s="7" t="inlineStr">
        <is>
          <t>96600210</t>
        </is>
      </c>
    </row>
    <row r="974" ht="18" customHeight="1">
      <c r="A974" s="2" t="inlineStr">
        <is>
          <t>aa AA &lt;al_amanii_q8@hotmail.com&gt;</t>
        </is>
      </c>
      <c r="B974" s="3" t="inlineStr">
        <is>
          <t>al_amanii_q8@hotmail.com</t>
        </is>
      </c>
      <c r="C974" s="2">
        <f>?utf-8?B?2KfZhdiz2K0g2YfYsNinINin2YTYp9iz2YUg?=</f>
        <v/>
      </c>
      <c r="D974" s="2" t="inlineStr">
        <is>
          <t xml:space="preserve">Hello! How can we help you?  Report آمنة الشبو- : 96600210  مع تحياتي me✌🏽️ </t>
        </is>
      </c>
      <c r="E974" s="4" t="inlineStr">
        <is>
          <t>96600210</t>
        </is>
      </c>
    </row>
    <row r="975" ht="18" customHeight="1">
      <c r="A975" s="5" t="inlineStr">
        <is>
          <t>aa AA &lt;al_amanii_q8@hotmail.com&gt;</t>
        </is>
      </c>
      <c r="B975" s="6" t="inlineStr">
        <is>
          <t>al_amanii_q8@hotmail.com</t>
        </is>
      </c>
      <c r="C975" s="5">
        <f>?utf-8?B?2KfZhdiz2K0g2YfYsNinINin2YTYp9iz2YU=?=</f>
        <v/>
      </c>
      <c r="D975" s="5" t="inlineStr">
        <is>
          <t xml:space="preserve">Hello! How can we help you?  Report آمنه- : 96600210  مع تحياتي me✌🏽️ </t>
        </is>
      </c>
      <c r="E975" s="7" t="inlineStr">
        <is>
          <t>96600210</t>
        </is>
      </c>
    </row>
    <row r="976" ht="18" customHeight="1">
      <c r="A976" s="2" t="inlineStr">
        <is>
          <t>aa AA &lt;al_amanii_q8@hotmail.com&gt;</t>
        </is>
      </c>
      <c r="B976" s="3" t="inlineStr">
        <is>
          <t>al_amanii_q8@hotmail.com</t>
        </is>
      </c>
      <c r="C976" s="2">
        <f>?utf-8?B?2KfZhdiz2K0g2YfYsNinINin2YTYp9iz2YU=?=</f>
        <v/>
      </c>
      <c r="D976" s="2" t="inlineStr">
        <is>
          <t xml:space="preserve">Hello! How can we help you?  Report مشعل اغزم- : 96600210  مع تحياتي me✌🏽️ </t>
        </is>
      </c>
      <c r="E976" s="4" t="inlineStr">
        <is>
          <t>96600210</t>
        </is>
      </c>
    </row>
    <row r="977" ht="18" customHeight="1">
      <c r="A977" s="5" t="inlineStr">
        <is>
          <t>aa AA &lt;al_amanii_q8@hotmail.com&gt;</t>
        </is>
      </c>
      <c r="B977" s="6" t="inlineStr">
        <is>
          <t>al_amanii_q8@hotmail.com</t>
        </is>
      </c>
      <c r="C977" s="5">
        <f>?utf-8?B?2KfZhdiz2K0g2YfYsNinINin2YTYp9iz2YUg?=</f>
        <v/>
      </c>
      <c r="D977" s="5" t="inlineStr">
        <is>
          <t xml:space="preserve">Hello! How can we help you?  Report قصور 33/9/2 : 96600210  مع تحياتي me✌🏽️ </t>
        </is>
      </c>
      <c r="E977" s="7" t="inlineStr">
        <is>
          <t>96600210</t>
        </is>
      </c>
    </row>
    <row r="978" ht="18" customHeight="1">
      <c r="A978" s="2" t="inlineStr">
        <is>
          <t>aa AA &lt;al_amanii_q8@hotmail.com&gt;</t>
        </is>
      </c>
      <c r="B978" s="3" t="inlineStr">
        <is>
          <t>al_amanii_q8@hotmail.com</t>
        </is>
      </c>
      <c r="C978" s="2">
        <f>?utf-8?B?2KfZhdiz2K0g2YfYsNinINin2YTYp9iz2YU=?=</f>
        <v/>
      </c>
      <c r="D978" s="2" t="inlineStr">
        <is>
          <t xml:space="preserve">Hello! How can we help you?  Report ام فاضل تبي بيت في حدود 150 : 96600210  مع تحياتي me✌🏽️ </t>
        </is>
      </c>
      <c r="E978" s="4" t="inlineStr">
        <is>
          <t>96600210</t>
        </is>
      </c>
    </row>
    <row r="979" ht="18" customHeight="1">
      <c r="A979" s="5" t="inlineStr">
        <is>
          <t>Nawa Alazm &lt;nauaf1981@icloud.com&gt;</t>
        </is>
      </c>
      <c r="B979" s="6" t="inlineStr">
        <is>
          <t>nauaf1981@icloud.com</t>
        </is>
      </c>
      <c r="C979" s="5">
        <f>?utf-8?B?2KfZhNin2LPZhS4g2YbZiNi52KfZiyDZhdinINin2LPYp9im2Yc=?=</f>
        <v/>
      </c>
      <c r="D979" s="5" t="inlineStr">
        <is>
          <t>Hello! How can we help you?  Report نواف-الزبيري : 66500007   Nawaf Alazmi</t>
        </is>
      </c>
      <c r="E979" s="7" t="inlineStr">
        <is>
          <t>66500007</t>
        </is>
      </c>
    </row>
    <row r="980" ht="18" customHeight="1">
      <c r="A980" s="2" t="inlineStr">
        <is>
          <t>hani ashkanani &lt;Borussen_proud@hotmail.com&gt;</t>
        </is>
      </c>
      <c r="B980" s="3" t="inlineStr">
        <is>
          <t>Borussen_proud@hotmail.com</t>
        </is>
      </c>
      <c r="C980" s="2" t="inlineStr"/>
      <c r="D980" s="2" t="inlineStr">
        <is>
          <t xml:space="preserve">Hello! How can we help you?  Report هاني اشكناني زبون : 90090804  Sent from my iPhone </t>
        </is>
      </c>
      <c r="E980" s="4" t="inlineStr">
        <is>
          <t>90090804</t>
        </is>
      </c>
    </row>
    <row r="981" ht="18" customHeight="1">
      <c r="A981" s="5" t="inlineStr">
        <is>
          <t>hani ashkanani &lt;Borussen_proud@hotmail.com&gt;</t>
        </is>
      </c>
      <c r="B981" s="6" t="inlineStr">
        <is>
          <t>Borussen_proud@hotmail.com</t>
        </is>
      </c>
      <c r="C981" s="5" t="inlineStr"/>
      <c r="D981" s="5" t="inlineStr">
        <is>
          <t xml:space="preserve">Hello! How can we help you?  Report حطين بس : 90090804  Sent from my iPhone </t>
        </is>
      </c>
      <c r="E981" s="7" t="inlineStr">
        <is>
          <t>90090804</t>
        </is>
      </c>
    </row>
    <row r="982" ht="18" customHeight="1">
      <c r="A982" s="2" t="inlineStr">
        <is>
          <t>"asma .all" &lt;asomii88@yahoo.com&gt;</t>
        </is>
      </c>
      <c r="B982" s="3" t="inlineStr">
        <is>
          <t>asomii88@yahoo.com</t>
        </is>
      </c>
      <c r="C982" s="2" t="inlineStr"/>
      <c r="D982" s="2" t="inlineStr">
        <is>
          <t>Hello! How can we help you?  Report عبدالله دخيل : 97764760   ‫أُرسلت من الـ iPhone‬</t>
        </is>
      </c>
      <c r="E982" s="4" t="inlineStr">
        <is>
          <t>97764760</t>
        </is>
      </c>
    </row>
    <row r="983" ht="18" customHeight="1">
      <c r="A983" s="5" t="inlineStr">
        <is>
          <t>Dante AI &lt;connect@dante-ai.com&gt;</t>
        </is>
      </c>
      <c r="B983" s="6" t="inlineStr">
        <is>
          <t>connect@dante-ai.com</t>
        </is>
      </c>
      <c r="C983" s="5" t="inlineStr">
        <is>
          <t>The huge upgrade is here. Meet Dante Halo!</t>
        </is>
      </c>
      <c r="D983" s="5" t="inlineStr">
        <is>
          <t>Hi there!     The huge upgrade is here, and it’s only the beginning.     What used to be your simple chat widget has evolved into something truly powerful.    Meet **Dante Halo**, your intelligent AI agent that understands every customer and every question.     Halo has been completely reimagined to feel smoother, sound more natural, and deliver better results. It is faster, smarter, and built with **resolution-first intelligence****,** so every conversation ends with clarity and confidence.   ####**Get early access**      You can **try the new Dante Halo right now** and see how effortless it feels.    Preview your current widget beside the new Halo experience, explore the updates, and switc ...</t>
        </is>
      </c>
      <c r="E983" s="7" t="inlineStr"/>
    </row>
    <row r="984" ht="18" customHeight="1">
      <c r="A984" s="2" t="inlineStr">
        <is>
          <t>Nawaf Alshbli &lt;nawwaf1987@gmail.com&gt;</t>
        </is>
      </c>
      <c r="B984" s="3" t="inlineStr">
        <is>
          <t>nawwaf1987@gmail.com</t>
        </is>
      </c>
      <c r="C984" s="2">
        <f>?utf-8?B?2LfZhNioINit2LDZgSDYsdmC2YU=?=</f>
        <v/>
      </c>
      <c r="D984" s="2" t="inlineStr">
        <is>
          <t>﻿ 51111051 ارجو حذف رقمي لن توجد اسماء غير اخلاقيه وقد سببت لي مشاكل ؟ ‫أُرسلت من الـ iPhone‬</t>
        </is>
      </c>
      <c r="E984" s="4" t="inlineStr">
        <is>
          <t>51111051</t>
        </is>
      </c>
    </row>
    <row r="985" ht="18" customHeight="1">
      <c r="A985" s="5" t="inlineStr">
        <is>
          <t>Nawaf Alshbli &lt;nawwaf1987@gmail.com&gt;</t>
        </is>
      </c>
      <c r="B985" s="6" t="inlineStr">
        <is>
          <t>nawwaf1987@gmail.com</t>
        </is>
      </c>
      <c r="C985" s="5">
        <f>?utf-8?B?2YTZgtivINiz2KjYqCDZhdi02KfZg9mEIA==?=</f>
        <v/>
      </c>
      <c r="D985" s="5" t="inlineStr">
        <is>
          <t>Hello! How can we help you?  Report ي- : 51111051   ‫أُرسلت من الـ iPhone‬</t>
        </is>
      </c>
      <c r="E985" s="7" t="inlineStr">
        <is>
          <t>51111051</t>
        </is>
      </c>
    </row>
    <row r="986" ht="18" customHeight="1">
      <c r="A986" s="2" t="inlineStr">
        <is>
          <t>Nawaf Alshbli &lt;nawwaf1987@gmail.com&gt;</t>
        </is>
      </c>
      <c r="B986" s="3" t="inlineStr">
        <is>
          <t>nawwaf1987@gmail.com</t>
        </is>
      </c>
      <c r="C986" s="2">
        <f>?utf-8?B?2YXYs9itINin2YTYp9iz2YUg?=</f>
        <v/>
      </c>
      <c r="D986" s="2" t="inlineStr">
        <is>
          <t>Hello! How can we help you?  Report نواف- : 51111051   ‫أُرسلت من الـ iPhone‬</t>
        </is>
      </c>
      <c r="E986" s="4" t="inlineStr">
        <is>
          <t>51111051</t>
        </is>
      </c>
    </row>
    <row r="987" ht="18" customHeight="1">
      <c r="A987" s="5" t="inlineStr">
        <is>
          <t>Nawaf Alshbli &lt;nawwaf1987@gmail.com&gt;</t>
        </is>
      </c>
      <c r="B987" s="6" t="inlineStr">
        <is>
          <t>nawwaf1987@gmail.com</t>
        </is>
      </c>
      <c r="C987" s="5">
        <f>?utf-8?B?2K3YrNioINin2YTYsdmC2YUg?=</f>
        <v/>
      </c>
      <c r="D987" s="5" t="inlineStr">
        <is>
          <t>Hello! How can we help you?  Report نواف عشوي3- : 51111051   ‫أُرسلت من الـ iPhone‬</t>
        </is>
      </c>
      <c r="E987" s="7" t="inlineStr">
        <is>
          <t>51111051</t>
        </is>
      </c>
    </row>
    <row r="988" ht="18" customHeight="1">
      <c r="A988" s="2" t="inlineStr">
        <is>
          <t>Nawaf Alshbli &lt;nawwaf1987@gmail.com&gt;</t>
        </is>
      </c>
      <c r="B988" s="3" t="inlineStr">
        <is>
          <t>nawwaf1987@gmail.com</t>
        </is>
      </c>
      <c r="C988" s="2">
        <f>?utf-8?B?2KfZhNmD2YTYp9mFINi62YrYsSDYp9iu2YTYp9mC2Yog?=</f>
        <v/>
      </c>
      <c r="D988" s="2" t="inlineStr">
        <is>
          <t>Hello! How can we help you?  Report عش عش- : 51111051   ‫أُرسلت من الـ iPhone‬</t>
        </is>
      </c>
      <c r="E988" s="4" t="inlineStr">
        <is>
          <t>51111051</t>
        </is>
      </c>
    </row>
    <row r="989" ht="18" customHeight="1">
      <c r="A989" s="5" t="inlineStr">
        <is>
          <t>Nawaf Alshbli &lt;nawwaf1987@gmail.com&gt;</t>
        </is>
      </c>
      <c r="B989" s="6" t="inlineStr">
        <is>
          <t>nawwaf1987@gmail.com</t>
        </is>
      </c>
      <c r="C989" s="5">
        <f>?utf-8?B?2YTZgtivINiz2KjYqCDZhdi02KfZg9mEIA==?=</f>
        <v/>
      </c>
      <c r="D989" s="5" t="inlineStr">
        <is>
          <t>Hello! How can we help you?  Report اااااااااا- : 51111051   ‫أُرسلت من الـ iPhone‬</t>
        </is>
      </c>
      <c r="E989" s="7" t="inlineStr">
        <is>
          <t>51111051</t>
        </is>
      </c>
    </row>
    <row r="990" ht="18" customHeight="1">
      <c r="A990" s="2" t="inlineStr">
        <is>
          <t>Nawaf Alshbli &lt;nawwaf1987@gmail.com&gt;</t>
        </is>
      </c>
      <c r="B990" s="3" t="inlineStr">
        <is>
          <t>nawwaf1987@gmail.com</t>
        </is>
      </c>
      <c r="C990" s="2">
        <f>?utf-8?B?2YTZgtivINmK2LPYqNioINmF2LTYp9mD2YQg?=</f>
        <v/>
      </c>
      <c r="D990" s="2" t="inlineStr">
        <is>
          <t>Hello! How can we help you?  Report نواف - : 51111051   ‫أُرسلت من الـ iPhone‬</t>
        </is>
      </c>
      <c r="E990" s="4" t="inlineStr">
        <is>
          <t>51111051</t>
        </is>
      </c>
    </row>
    <row r="991" ht="18" customHeight="1">
      <c r="A991" s="5" t="inlineStr">
        <is>
          <t>Nawaf Alshbli &lt;nawwaf1987@gmail.com&gt;</t>
        </is>
      </c>
      <c r="B991" s="6" t="inlineStr">
        <is>
          <t>nawwaf1987@gmail.com</t>
        </is>
      </c>
      <c r="C991" s="5" t="inlineStr"/>
      <c r="D991" s="5" t="inlineStr">
        <is>
          <t>Hello! How can we help you?  Report ي- : 51111051   ‫أُرسلت من الـ iPhone‬</t>
        </is>
      </c>
      <c r="E991" s="7" t="inlineStr">
        <is>
          <t>51111051</t>
        </is>
      </c>
    </row>
    <row r="992" ht="18" customHeight="1">
      <c r="A992" s="2" t="inlineStr">
        <is>
          <t>Sulaiman Alfailakawi &lt;salfailakawi1995@icloud.com&gt;</t>
        </is>
      </c>
      <c r="B992" s="3" t="inlineStr">
        <is>
          <t>salfailakawi1995@icloud.com</t>
        </is>
      </c>
      <c r="C992" s="2" t="inlineStr"/>
      <c r="D992" s="2" t="inlineStr">
        <is>
          <t>Hello! How can we help you?  Report Laser Man : 92299927   Sent from my iPhone</t>
        </is>
      </c>
      <c r="E992" s="4" t="inlineStr">
        <is>
          <t>92299927</t>
        </is>
      </c>
    </row>
    <row r="993" ht="18" customHeight="1">
      <c r="A993" s="5" t="inlineStr">
        <is>
          <t>Sulaiman Alfailakawi &lt;salfailakawi1995@icloud.com&gt;</t>
        </is>
      </c>
      <c r="B993" s="6" t="inlineStr">
        <is>
          <t>salfailakawi1995@icloud.com</t>
        </is>
      </c>
      <c r="C993" s="5" t="inlineStr"/>
      <c r="D993" s="5" t="inlineStr">
        <is>
          <t>Hello! How can we help you?  Report Laser : 92299927   Sent from my iPhone</t>
        </is>
      </c>
      <c r="E993" s="7" t="inlineStr">
        <is>
          <t>92299927</t>
        </is>
      </c>
    </row>
    <row r="994" ht="18" customHeight="1">
      <c r="A994" s="2" t="inlineStr">
        <is>
          <t>Abdullah Alsabea &lt;aalsabea96@gmail.com&gt;</t>
        </is>
      </c>
      <c r="B994" s="3" t="inlineStr">
        <is>
          <t>aalsabea96@gmail.com</t>
        </is>
      </c>
      <c r="C994" s="2" t="inlineStr"/>
      <c r="D994" s="2" t="inlineStr">
        <is>
          <t>Hello! How can we help you?  Report شعيوه : 99344551   Sent from my iPhone</t>
        </is>
      </c>
      <c r="E994" s="4" t="inlineStr">
        <is>
          <t>99344551</t>
        </is>
      </c>
    </row>
    <row r="995" ht="18" customHeight="1">
      <c r="A995" s="5" t="inlineStr">
        <is>
          <t>Abdullah Alsabea &lt;aalsabea96@gmail.com&gt;</t>
        </is>
      </c>
      <c r="B995" s="6" t="inlineStr">
        <is>
          <t>aalsabea96@gmail.com</t>
        </is>
      </c>
      <c r="C995" s="5" t="inlineStr"/>
      <c r="D995" s="5" t="inlineStr">
        <is>
          <t>Hello! How can we help you?  Report خرطوش : 99344551   Sent from my iPhone</t>
        </is>
      </c>
      <c r="E995" s="7" t="inlineStr">
        <is>
          <t>99344551</t>
        </is>
      </c>
    </row>
    <row r="996" ht="18" customHeight="1">
      <c r="A996" s="2" t="inlineStr">
        <is>
          <t>"=?utf-8?B?2LfZhNin2YQg2KPYrdmF2K8=?=" &lt;yrsmonk@gmail.com&gt;</t>
        </is>
      </c>
      <c r="B996" s="3" t="inlineStr">
        <is>
          <t>yrsmonk@gmail.com</t>
        </is>
      </c>
      <c r="C996" s="2">
        <f>?utf-8?B?2KfZhNix2KzYp9ihINmF2LPYrSDYp9mE2LHZgtmF?=</f>
        <v/>
      </c>
      <c r="D996" s="2" t="inlineStr">
        <is>
          <t>Hello! How can we help you?  Report طيبه العطوان : 99448008   ‏من ال iPhone الخاص بي</t>
        </is>
      </c>
      <c r="E996" s="4" t="inlineStr">
        <is>
          <t>99448008</t>
        </is>
      </c>
    </row>
    <row r="997" ht="18" customHeight="1">
      <c r="A997" s="5">
        <f>?utf-8?B?2KjZiCDZgdmI2K/YsQ==?= &lt;alsager77700@gmail.com&gt;</f>
        <v/>
      </c>
      <c r="B997" s="6" t="inlineStr">
        <is>
          <t>alsager77700@gmail.com</t>
        </is>
      </c>
      <c r="C997" s="5" t="inlineStr"/>
      <c r="D997" s="5" t="inlineStr">
        <is>
          <t>Hello! How can we help you?  Report متطفلين حسب بلاغات من بلدك KW :   ‫أُرسلت من الـ iPhone‬</t>
        </is>
      </c>
      <c r="E997" s="7" t="inlineStr"/>
    </row>
    <row r="998" ht="18" customHeight="1">
      <c r="A998" s="2" t="inlineStr">
        <is>
          <t>marya Alharpi &lt;maryaalharpi@gmail.com&gt;</t>
        </is>
      </c>
      <c r="B998" s="3" t="inlineStr">
        <is>
          <t>maryaalharpi@gmail.com</t>
        </is>
      </c>
      <c r="C998" s="2">
        <f>?UTF-8?B?UmU6INil2KjZhNin2Log2LnZhiDYpdiz2KfYodip?=</f>
        <v/>
      </c>
      <c r="D998" s="2" t="inlineStr">
        <is>
          <t xml:space="preserve">إبلاغ عن إساءة باسم )هبله ( على الرقم 99796036  في الأحد، 12 أكتوبر 2025، 6:38 م marya Alharpi &lt;maryaalharpi@gmail.com&gt; كتب:  &gt; إبلاغ عن إساءة بمسمى ) الهبله ( على الرقم 99796036 ارجو مسح اللقب وشكرا &gt; </t>
        </is>
      </c>
      <c r="E998" s="4" t="inlineStr">
        <is>
          <t>99796036</t>
        </is>
      </c>
    </row>
    <row r="999" ht="18" customHeight="1">
      <c r="A999" s="5" t="inlineStr">
        <is>
          <t>tahaalmosawi.ta@gmail.com</t>
        </is>
      </c>
      <c r="B999" s="6" t="inlineStr">
        <is>
          <t>tahaalmosawi.ta@gmail.com</t>
        </is>
      </c>
      <c r="C999" s="5" t="inlineStr"/>
      <c r="D999" s="5" t="inlineStr">
        <is>
          <t>Hello! How can we help you?  Report الجلب : 96620209   ‫أُرسلت من الـ iPhone‬</t>
        </is>
      </c>
      <c r="E999" s="7" t="inlineStr">
        <is>
          <t>96620209</t>
        </is>
      </c>
    </row>
    <row r="1000" ht="18" customHeight="1">
      <c r="A1000" s="2" t="inlineStr">
        <is>
          <t>khaled alazemi &lt;alazmykhald95@icloud.com&gt;</t>
        </is>
      </c>
      <c r="B1000" s="3" t="inlineStr">
        <is>
          <t>alazmykhald95@icloud.com</t>
        </is>
      </c>
      <c r="C1000" s="2">
        <f>?utf-8?B?2KfYs9mFINi62YrYsSDZhNin2KbZgg==?=</f>
        <v/>
      </c>
      <c r="D1000" s="2" t="inlineStr">
        <is>
          <t>Hello! How can we help you?  Report 2009يريد قطع البااايخ دورلي : 98858134   ‫أُرسلت من الـ iPhone‬</t>
        </is>
      </c>
      <c r="E1000" s="4" t="inlineStr">
        <is>
          <t>98858134</t>
        </is>
      </c>
    </row>
    <row r="1001" ht="18" customHeight="1">
      <c r="A1001" s="5" t="inlineStr">
        <is>
          <t>KHALED ALAZMI &lt;kkaqt15@gmail.com&gt;</t>
        </is>
      </c>
      <c r="B1001" s="6" t="inlineStr">
        <is>
          <t>kkaqt15@gmail.com</t>
        </is>
      </c>
      <c r="C1001" s="5" t="inlineStr"/>
      <c r="D1001" s="5" t="inlineStr">
        <is>
          <t>Hello! How can we help you?  Report خالد الصواغ ولد خديجه 7/11/2021 : 55107496   ‫أُرسلت من الـ iPhone‬</t>
        </is>
      </c>
      <c r="E1001" s="7" t="inlineStr">
        <is>
          <t>55107496</t>
        </is>
      </c>
    </row>
    <row r="1002" ht="18" customHeight="1">
      <c r="A1002" s="2">
        <f>?utf-8?B?2YLZhtin2Kkg2YXYstin2Kw=?= &lt;fahadalkhanfor@gmail.com&gt;</f>
        <v/>
      </c>
      <c r="B1002" s="3" t="inlineStr">
        <is>
          <t>fahadalkhanfor@gmail.com</t>
        </is>
      </c>
      <c r="C1002" s="2">
        <f>?utf-8?B?UmU6INin2YTYp9iz2YUg2K7Yt9ij?=</f>
        <v/>
      </c>
      <c r="D1002" s="2" t="inlineStr">
        <is>
          <t xml:space="preserve">  &gt; ‫في 13‏/10‏/2025 الساعة 1:10 ص، كتب/كتبت ‏قناة مزاج ‏&lt;fahadalkhanfor@gmail.com&gt;:‬ &gt;  &gt; ﻿ &gt; Hello! How can we help you? &gt;  &gt; Report فهد خالد الخنفور2- : 60444905 &gt;  &gt;  &gt;  &gt; الاسم خطأ &gt;  </t>
        </is>
      </c>
      <c r="E1002" s="4" t="inlineStr">
        <is>
          <t>60444905</t>
        </is>
      </c>
    </row>
    <row r="1003" ht="18" customHeight="1">
      <c r="A1003" s="5" t="inlineStr">
        <is>
          <t>abdullah kwt &lt;abdullah2003a@yahoo.com&gt;</t>
        </is>
      </c>
      <c r="B1003" s="6" t="inlineStr">
        <is>
          <t>abdullah2003a@yahoo.com</t>
        </is>
      </c>
      <c r="C1003" s="5" t="inlineStr"/>
      <c r="D1003" s="5" t="inlineStr">
        <is>
          <t>Hello! How can we help you?  Report Harrods : 51650606   Sent from my iPhone</t>
        </is>
      </c>
      <c r="E1003" s="7" t="inlineStr">
        <is>
          <t>51650606</t>
        </is>
      </c>
    </row>
    <row r="1004" ht="18" customHeight="1">
      <c r="A1004" s="2" t="inlineStr">
        <is>
          <t>abdullah kwt &lt;abdullah2003a@yahoo.com&gt;</t>
        </is>
      </c>
      <c r="B1004" s="3" t="inlineStr">
        <is>
          <t>abdullah2003a@yahoo.com</t>
        </is>
      </c>
      <c r="C1004" s="2" t="inlineStr"/>
      <c r="D1004" s="2" t="inlineStr">
        <is>
          <t>Hello! How can we help you?  Report عبود ولد نوف : 51650606   Sent from my iPhone</t>
        </is>
      </c>
      <c r="E1004" s="4" t="inlineStr">
        <is>
          <t>51650606</t>
        </is>
      </c>
    </row>
    <row r="1005" ht="18" customHeight="1">
      <c r="A1005" s="5" t="inlineStr">
        <is>
          <t>abdullah kwt &lt;abdullah2003a@yahoo.com&gt;</t>
        </is>
      </c>
      <c r="B1005" s="6" t="inlineStr">
        <is>
          <t>abdullah2003a@yahoo.com</t>
        </is>
      </c>
      <c r="C1005" s="5" t="inlineStr"/>
      <c r="D1005" s="5" t="inlineStr">
        <is>
          <t>Hello! How can we help you?  Report عبودي : 51650606   Sent from my iPhone</t>
        </is>
      </c>
      <c r="E1005" s="7" t="inlineStr">
        <is>
          <t>51650606</t>
        </is>
      </c>
    </row>
    <row r="1006" ht="18" customHeight="1">
      <c r="A1006" s="2" t="inlineStr">
        <is>
          <t>abdullah kwt &lt;abdullah2003a@yahoo.com&gt;</t>
        </is>
      </c>
      <c r="B1006" s="3" t="inlineStr">
        <is>
          <t>abdullah2003a@yahoo.com</t>
        </is>
      </c>
      <c r="C1006" s="2" t="inlineStr"/>
      <c r="D1006" s="2" t="inlineStr">
        <is>
          <t>Hello! How can we help you?  Report عبودي نور عيوني : 51650606   Sent from my iPhone</t>
        </is>
      </c>
      <c r="E1006" s="4" t="inlineStr">
        <is>
          <t>51650606</t>
        </is>
      </c>
    </row>
    <row r="1007" ht="18" customHeight="1">
      <c r="A1007" s="5" t="inlineStr">
        <is>
          <t>"Joz '" &lt;yousefalthaidii@gmail.com&gt;</t>
        </is>
      </c>
      <c r="B1007" s="6" t="inlineStr">
        <is>
          <t>yousefalthaidii@gmail.com</t>
        </is>
      </c>
      <c r="C1007" s="5">
        <f>?utf-8?B?2KrZhSDYrdiw2YEg2LHZgtmF2Yog2YXZhiDYp9mE2KrYt9io2Yo=?=  =?utf-8?B?2YIg2YjYp9ix2YrYryDYp9i52KfYr9iq2Ycg2YTZitiz2KrYt9mK?=  =?utf-8?B?2Lkg2KfZhNmG2KfYsyDYp9mE2YjYtdmI2YQg2KfZhNmKINin2LE=?=  =?utf-8?B?2KzZiNmD2YU=?=</f>
        <v/>
      </c>
      <c r="D1007" s="5" t="inlineStr">
        <is>
          <t>Hello! How can we help you?   ‫أُرسلت من الـ iPhone‬</t>
        </is>
      </c>
      <c r="E1007" s="7" t="inlineStr"/>
    </row>
    <row r="1008" ht="18" customHeight="1">
      <c r="A1008" s="2" t="inlineStr">
        <is>
          <t>BaDeR &lt;bigbaderr@gmail.com&gt;</t>
        </is>
      </c>
      <c r="B1008" s="3" t="inlineStr">
        <is>
          <t>bigbaderr@gmail.com</t>
        </is>
      </c>
      <c r="C1008" s="2">
        <f>?utf-8?B?2KfZhNix2KzYp9ihINin2YTYutin2KEg2YfYsNinINin2YTYp9iz?=  =?utf-8?B?2YUg2YXZhiDYqNix2YbYp9mF2Kwg2YXZhtmIINiv2KfZgiA=?=</f>
        <v/>
      </c>
      <c r="D1008" s="2" t="inlineStr">
        <is>
          <t>Hello! How can we help you?  Report بدر شؤون : 55003370   ‫أُرسلت من الـ iPhone‬</t>
        </is>
      </c>
      <c r="E1008" s="4" t="inlineStr">
        <is>
          <t>55003370</t>
        </is>
      </c>
    </row>
    <row r="1009" ht="18" customHeight="1">
      <c r="A1009" s="5">
        <f>?utf-8?B?2YXYrdmF2K8g2KfZhNiz2KfZitix?= &lt;77alsayr@gmail.com&gt;</f>
        <v/>
      </c>
      <c r="B1009" s="6" t="inlineStr">
        <is>
          <t>77alsayr@gmail.com</t>
        </is>
      </c>
      <c r="C1009" s="5" t="inlineStr"/>
      <c r="D1009" s="5" t="inlineStr">
        <is>
          <t>Hello! How can we help you?  Report مخيم مبيوق : 99039285   ‫أُرسلت من الـ iPhone‬</t>
        </is>
      </c>
      <c r="E1009" s="7" t="inlineStr">
        <is>
          <t>99039285</t>
        </is>
      </c>
    </row>
    <row r="1010" ht="18" customHeight="1">
      <c r="A1010" s="2" t="inlineStr">
        <is>
          <t>Faten Al-Dehainah &lt;fatenaldehainah@gmail.com&gt;</t>
        </is>
      </c>
      <c r="B1010" s="3" t="inlineStr">
        <is>
          <t>fatenaldehainah@gmail.com</t>
        </is>
      </c>
      <c r="C1010" s="2" t="inlineStr"/>
      <c r="D1010" s="2" t="inlineStr">
        <is>
          <t xml:space="preserve">Hello! How can we help you?  Report Jtha Fatn : 94111161  </t>
        </is>
      </c>
      <c r="E1010" s="4" t="inlineStr">
        <is>
          <t>94111161</t>
        </is>
      </c>
    </row>
    <row r="1011" ht="18" customHeight="1">
      <c r="A1011" s="5" t="inlineStr">
        <is>
          <t>AMR Saad &lt;appap32@gmail.com&gt;</t>
        </is>
      </c>
      <c r="B1011" s="6" t="inlineStr">
        <is>
          <t>appap32@gmail.com</t>
        </is>
      </c>
      <c r="C1011" s="5" t="inlineStr"/>
      <c r="D1011" s="5" t="inlineStr">
        <is>
          <t xml:space="preserve">Hello! How can we help you?  Report عمرو الفشخرت- : 60002212   Sent from my iPhone اريد  الغاء  هذا  الاسم </t>
        </is>
      </c>
      <c r="E1011" s="7" t="inlineStr">
        <is>
          <t>60002212</t>
        </is>
      </c>
    </row>
    <row r="1012" ht="18" customHeight="1">
      <c r="A1012" s="2" t="inlineStr">
        <is>
          <t>Omar Alkhadra &lt;omaralkhadra@hotmail.com&gt;</t>
        </is>
      </c>
      <c r="B1012" s="3" t="inlineStr">
        <is>
          <t>omaralkhadra@hotmail.com</t>
        </is>
      </c>
      <c r="C1012" s="2" t="inlineStr"/>
      <c r="D1012" s="2" t="inlineStr">
        <is>
          <t xml:space="preserve">Hello! How can we help you?  Report عمر ابو مروان : 55556675  Wrong could u please removd this? </t>
        </is>
      </c>
      <c r="E1012" s="4" t="inlineStr">
        <is>
          <t>55556675</t>
        </is>
      </c>
    </row>
    <row r="1013" ht="18" customHeight="1">
      <c r="A1013" s="5" t="inlineStr">
        <is>
          <t>Eman Al-musllem &lt;e.al-musllem@hotmail.com&gt;</t>
        </is>
      </c>
      <c r="B1013" s="6" t="inlineStr">
        <is>
          <t>e.al-musllem@hotmail.com</t>
        </is>
      </c>
      <c r="C1013" s="5">
        <f>?iso-8859-6?B?1tHo0eo=?=</f>
        <v/>
      </c>
      <c r="D1013" s="5" t="inlineStr">
        <is>
          <t xml:space="preserve">�� ��� ���� ����� ���� ����� ���� ����� ������ ���� �������  ���� ��� Outlook for Android&lt;https://aka.ms/AAb9ysg&gt; </t>
        </is>
      </c>
      <c r="E1013" s="7" t="inlineStr"/>
    </row>
    <row r="1014" ht="18" customHeight="1">
      <c r="A1014" s="2" t="inlineStr">
        <is>
          <t>Bader Al-Ajmi &lt;bajmi@hotmail.com&gt;</t>
        </is>
      </c>
      <c r="B1014" s="3" t="inlineStr">
        <is>
          <t>bajmi@hotmail.com</t>
        </is>
      </c>
      <c r="C1014" s="2" t="inlineStr"/>
      <c r="D1014" s="2" t="inlineStr">
        <is>
          <t xml:space="preserve">Hello! How can we help you?  Report بدر المصري- : 99820775  Sent from my iPhone </t>
        </is>
      </c>
      <c r="E1014" s="4" t="inlineStr">
        <is>
          <t>99820775</t>
        </is>
      </c>
    </row>
    <row r="1015" ht="18" customHeight="1">
      <c r="A1015" s="5" t="inlineStr">
        <is>
          <t>Lulwa Alanezi &lt;lulwa_alanezi@icloud.com&gt;</t>
        </is>
      </c>
      <c r="B1015" s="6" t="inlineStr">
        <is>
          <t>lulwa_alanezi@icloud.com</t>
        </is>
      </c>
      <c r="C1015" s="5" t="inlineStr">
        <is>
          <t>Hello,   I would like to request the removal of my phone number from the Whoscall database.   My number is: +96555745745   Thank you.</t>
        </is>
      </c>
      <c r="D1015" s="5" t="inlineStr">
        <is>
          <t>Hello! How can we help you?   Sent from my iPhone</t>
        </is>
      </c>
      <c r="E1015" s="7" t="inlineStr">
        <is>
          <t>55745745</t>
        </is>
      </c>
    </row>
    <row r="1016" ht="18" customHeight="1">
      <c r="A1016" s="2" t="inlineStr">
        <is>
          <t>Fatma &lt;faalrsh6@gmail.com&gt;</t>
        </is>
      </c>
      <c r="B1016" s="3" t="inlineStr">
        <is>
          <t>faalrsh6@gmail.com</t>
        </is>
      </c>
      <c r="C1016" s="2" t="inlineStr">
        <is>
          <t xml:space="preserve">Delete the name please </t>
        </is>
      </c>
      <c r="D1016" s="2" t="inlineStr">
        <is>
          <t>Hello! How can we help you?  Report فاطمة الصليبية : 99005269   Sent from my iPhone</t>
        </is>
      </c>
      <c r="E1016" s="4" t="inlineStr">
        <is>
          <t>99005269</t>
        </is>
      </c>
    </row>
    <row r="1017" ht="18" customHeight="1">
      <c r="A1017" s="5" t="inlineStr">
        <is>
          <t>Fatma &lt;faalrsh6@gmail.com&gt;</t>
        </is>
      </c>
      <c r="B1017" s="6" t="inlineStr">
        <is>
          <t>faalrsh6@gmail.com</t>
        </is>
      </c>
      <c r="C1017" s="5" t="inlineStr"/>
      <c r="D1017" s="5" t="inlineStr">
        <is>
          <t>Hello! How can we help you?  Report فاطمة الصليبية : 99005269   Sent from my iPhone</t>
        </is>
      </c>
      <c r="E1017" s="7" t="inlineStr">
        <is>
          <t>99005269</t>
        </is>
      </c>
    </row>
    <row r="1018" ht="18" customHeight="1">
      <c r="A1018" s="2" t="inlineStr">
        <is>
          <t>Nouf ALRashede &lt;noufq891@gmail.com&gt;</t>
        </is>
      </c>
      <c r="B1018" s="3" t="inlineStr">
        <is>
          <t>noufq891@gmail.com</t>
        </is>
      </c>
      <c r="C1018" s="2" t="inlineStr"/>
      <c r="D1018" s="2" t="inlineStr">
        <is>
          <t>Hello! How can we help you?  Report ي كرهي ! : 55777080   ‫أُرسلت من الـ iPhone‬ هذا  رقمي 55777080 وفي شخص مسجل رقمي  بصفه  غير لائقه</t>
        </is>
      </c>
      <c r="E1018" s="4" t="inlineStr">
        <is>
          <t>55777080</t>
        </is>
      </c>
    </row>
    <row r="1019" ht="18" customHeight="1">
      <c r="A1019" s="5" t="inlineStr">
        <is>
          <t>Bm-b94 &lt;almothanaalmounes@gmail.com&gt;</t>
        </is>
      </c>
      <c r="B1019" s="6" t="inlineStr">
        <is>
          <t>almothanaalmounes@gmail.com</t>
        </is>
      </c>
      <c r="C1019" s="5" t="inlineStr"/>
      <c r="D1019" s="5" t="inlineStr">
        <is>
          <t xml:space="preserve">Hello! How can we help you?  Report شقق : 69655530   M_bmB  </t>
        </is>
      </c>
      <c r="E1019" s="7" t="inlineStr">
        <is>
          <t>69655530</t>
        </is>
      </c>
    </row>
    <row r="1020" ht="18" customHeight="1">
      <c r="A1020" s="2" t="inlineStr">
        <is>
          <t>Bm-b94 &lt;almothanaalmounes@gmail.com&gt;</t>
        </is>
      </c>
      <c r="B1020" s="3" t="inlineStr">
        <is>
          <t>almothanaalmounes@gmail.com</t>
        </is>
      </c>
      <c r="C1020" s="2">
        <f>?utf-8?B?2KfYs9mFINi62YrYsSDZhNin2KbZgiDZiNmK2LPYqNioINin2YQ=?=  =?utf-8?B?2YPYq9mK2LEg2YXZhiDYp9mE2YXYtNin2YPZhCA=?=</f>
        <v/>
      </c>
      <c r="D1020" s="2" t="inlineStr">
        <is>
          <t xml:space="preserve">Hello! How can we help you?  Report شقق : 69655530   M_bmB  </t>
        </is>
      </c>
      <c r="E1020" s="4" t="inlineStr">
        <is>
          <t>69655530</t>
        </is>
      </c>
    </row>
    <row r="1021" ht="18" customHeight="1">
      <c r="A1021" s="5">
        <f>?utf-8?B?2LnYqNiv2KfZhNmE2Ycg2KfZhNi52YbYstmK?= &lt;aa.b.aq8@gmail.com&gt;</f>
        <v/>
      </c>
      <c r="B1021" s="6" t="inlineStr">
        <is>
          <t>aa.b.aq8@gmail.com</t>
        </is>
      </c>
      <c r="C1021" s="5">
        <f>?utf-8?Q?=D8=A7=D8=B1=D8=AC=D9=88_=D8=AD=D8=B0=D9=81_=D8=B1?=  =?utf-8?Q?=D9=82=D9=85=D9=8A_=D9=85=D9=86_=D9=85=D9=86=D9=88_?=  =?utf-8?Q?=D8=AF=D8=A7=D9=82_66057911?=</f>
        <v/>
      </c>
      <c r="D1021" s="5" t="inlineStr">
        <is>
          <t>Hello! How can we help you?  Report علي العنزي الطقس : 66057911   ‫أُرسلت من الـ iPhone‬</t>
        </is>
      </c>
      <c r="E1021" s="7" t="inlineStr">
        <is>
          <t>66057911</t>
        </is>
      </c>
    </row>
    <row r="1022" ht="18" customHeight="1">
      <c r="A1022" s="2" t="inlineStr">
        <is>
          <t>mariam alazmi &lt;ilsan3aa@hotmail.com&gt;</t>
        </is>
      </c>
      <c r="B1022" s="3" t="inlineStr">
        <is>
          <t>ilsan3aa@hotmail.com</t>
        </is>
      </c>
      <c r="C1022" s="2">
        <f>?utf-8?B?2YXZhdmD2YYg2YrZhti02KfZhCAhIQ==?=</f>
        <v/>
      </c>
      <c r="D1022" s="2" t="inlineStr">
        <is>
          <t xml:space="preserve">Hello! How can we help you?  Report زباله : 99114346  Can you remove this name please احذف هذا اللقب لوسمحت ‫أُرسلت من الـ iPhone‬ </t>
        </is>
      </c>
      <c r="E1022" s="4" t="inlineStr">
        <is>
          <t>99114346</t>
        </is>
      </c>
    </row>
    <row r="1023" ht="18" customHeight="1">
      <c r="A1023" s="5" t="inlineStr">
        <is>
          <t>Noura Aljameely &lt;nouraaljameely7@icloud.com&gt;</t>
        </is>
      </c>
      <c r="B1023" s="6" t="inlineStr">
        <is>
          <t>nouraaljameely7@icloud.com</t>
        </is>
      </c>
      <c r="C1023" s="5" t="inlineStr"/>
      <c r="D1023" s="5" t="inlineStr">
        <is>
          <t>Hello! How can we help you?  Report Mr 59m : 99751859   ‫أُرسلت من الـ iPhone‬</t>
        </is>
      </c>
      <c r="E1023" s="7" t="inlineStr">
        <is>
          <t>99751859</t>
        </is>
      </c>
    </row>
    <row r="1024" ht="18" customHeight="1">
      <c r="A1024" s="2" t="inlineStr">
        <is>
          <t>stealth saleh &lt;stealthsaleh@gmail.com&gt;</t>
        </is>
      </c>
      <c r="B1024" s="3" t="inlineStr">
        <is>
          <t>stealthsaleh@gmail.com</t>
        </is>
      </c>
      <c r="C1024" s="2">
        <f>?utf-8?B?2YrYsdis2Ykg2K3YsNmBINmH2LDYpyDYp9mE2KfYs9mFINmE2Kc=?=  =?utf-8?B?2YbZhyDZhdiz2KjYqNmE2Yog2KfYrdix2KfYrNin2Kog2KfZhtin?=  =?utf-8?B?INin2LPZhdmKINmG2KfYtdixINmF2Ygg2YbZiNix2Ycg2YjYrNin?=  =?utf-8?B?2YrYqNmE2Yog2KfZhNi02KjZh9mH?=</f>
        <v/>
      </c>
      <c r="D1024" s="2" t="inlineStr">
        <is>
          <t>Hello! How can we help you?  Report Nora Flchawi : 96677003   Sent from my iPhone</t>
        </is>
      </c>
      <c r="E1024" s="4" t="inlineStr">
        <is>
          <t>96677003</t>
        </is>
      </c>
    </row>
    <row r="1025" ht="18" customHeight="1">
      <c r="A1025" s="5" t="inlineStr">
        <is>
          <t>Tariq alfarisi &lt;taalfarisi77@gmail.com&gt;</t>
        </is>
      </c>
      <c r="B1025" s="6" t="inlineStr">
        <is>
          <t>taalfarisi77@gmail.com</t>
        </is>
      </c>
      <c r="C1025" s="5" t="inlineStr"/>
      <c r="D1025" s="5" t="inlineStr">
        <is>
          <t>Hello! How can we help you?   Sent from my iPhone السلام عليكم بخصوص حجب الرقم في بداية البرنامج كان الدفع مره وحده ودفعت وبعد فتره تغسر النظام عندكم وصار سنوي وانلغت الميزه من عندي وصرت ادفع سنوي  والحين اخر مره دفعت قبل 7 شهور اليوم واصلني مسج انتهت الاشتراك مافي مصداقيه الحين الي يسوي بحث راح يلقى الرقم مع اني دافع الاشتراك</t>
        </is>
      </c>
      <c r="E1025" s="7" t="inlineStr"/>
    </row>
    <row r="1026" ht="18" customHeight="1">
      <c r="A1026" s="2" t="inlineStr">
        <is>
          <t>zainab adel &lt;z.adelhjh@gmail.com&gt;</t>
        </is>
      </c>
      <c r="B1026" s="3" t="inlineStr">
        <is>
          <t>z.adelhjh@gmail.com</t>
        </is>
      </c>
      <c r="C1026" s="2">
        <f>?UTF-8?B?2LfZhNioINit2LDZgSDYp9iz2YXYp9ihINmF2LnZitmG2Ycg2LrZitixINmE2KfYptmC?= 	=?UTF-8?B?2YcgLSBSZXF1ZXN0IGltbWVkaWF0ZSByZW1vdmFsIG9mIG9mZmVuc2l2ZSBjb250ZW50Lg==?=</f>
        <v/>
      </c>
      <c r="D1026" s="2"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1026" s="4" t="inlineStr">
        <is>
          <t>98776464</t>
        </is>
      </c>
    </row>
    <row r="1027" ht="18" customHeight="1">
      <c r="A1027" s="5" t="inlineStr">
        <is>
          <t>zainab adel &lt;z.adelhjh@gmail.com&gt;</t>
        </is>
      </c>
      <c r="B1027" s="6" t="inlineStr">
        <is>
          <t>z.adelhjh@gmail.com</t>
        </is>
      </c>
      <c r="C1027" s="5" t="inlineStr">
        <is>
          <t>Request immediate removal of offensive content.</t>
        </is>
      </c>
      <c r="D1027" s="5"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1027" s="7" t="inlineStr">
        <is>
          <t>98776464</t>
        </is>
      </c>
    </row>
    <row r="1028" ht="18" customHeight="1">
      <c r="A1028" s="2" t="inlineStr">
        <is>
          <t>Ahmed Elsawye &lt;elsawye777@gmail.com&gt;</t>
        </is>
      </c>
      <c r="B1028" s="3" t="inlineStr">
        <is>
          <t>elsawye777@gmail.com</t>
        </is>
      </c>
      <c r="C1028" s="2" t="inlineStr">
        <is>
          <t xml:space="preserve">Remove this name </t>
        </is>
      </c>
      <c r="D1028" s="2" t="inlineStr">
        <is>
          <t>Hello! How can we help you?  Report الحجامه( ام عبد الله ) : 95591391   Sent from my iPhone</t>
        </is>
      </c>
      <c r="E1028" s="4" t="inlineStr">
        <is>
          <t>95591391</t>
        </is>
      </c>
    </row>
    <row r="1029" ht="18" customHeight="1">
      <c r="A1029" s="5" t="inlineStr">
        <is>
          <t>Ahmed Elsawye &lt;elsawye777@gmail.com&gt;</t>
        </is>
      </c>
      <c r="B1029" s="6" t="inlineStr">
        <is>
          <t>elsawye777@gmail.com</t>
        </is>
      </c>
      <c r="C1029" s="5" t="inlineStr">
        <is>
          <t xml:space="preserve">Remove this name </t>
        </is>
      </c>
      <c r="D1029" s="5" t="inlineStr">
        <is>
          <t>Hello! How can we help you?  Report ام عبدالله الحجامة للنساء فقط : 95591391   Sent from my iPhone</t>
        </is>
      </c>
      <c r="E1029" s="7" t="inlineStr">
        <is>
          <t>95591391</t>
        </is>
      </c>
    </row>
    <row r="1030" ht="18" customHeight="1">
      <c r="A1030" s="2" t="inlineStr">
        <is>
          <t>Ahmed Elsawye &lt;elsawye777@gmail.com&gt;</t>
        </is>
      </c>
      <c r="B1030" s="3" t="inlineStr">
        <is>
          <t>elsawye777@gmail.com</t>
        </is>
      </c>
      <c r="C1030" s="2" t="inlineStr">
        <is>
          <t xml:space="preserve">Remove this name </t>
        </is>
      </c>
      <c r="D1030" s="2" t="inlineStr">
        <is>
          <t>Hello! How can we help you?  Report الحجامه( ام عبد الله ) : 95591391   Sent from my iPhone</t>
        </is>
      </c>
      <c r="E1030" s="4" t="inlineStr">
        <is>
          <t>95591391</t>
        </is>
      </c>
    </row>
    <row r="1031" ht="18" customHeight="1">
      <c r="A1031" s="5" t="inlineStr">
        <is>
          <t>Ahmed Elsawye &lt;elsawye777@gmail.com&gt;</t>
        </is>
      </c>
      <c r="B1031" s="6" t="inlineStr">
        <is>
          <t>elsawye777@gmail.com</t>
        </is>
      </c>
      <c r="C1031" s="5" t="inlineStr">
        <is>
          <t xml:space="preserve">Remove this name </t>
        </is>
      </c>
      <c r="D1031" s="5" t="inlineStr">
        <is>
          <t>Hello! How can we help you?  Report ام عبدالله حجامة : 95591391   Sent from my iPhone</t>
        </is>
      </c>
      <c r="E1031" s="7" t="inlineStr">
        <is>
          <t>95591391</t>
        </is>
      </c>
    </row>
    <row r="1032" ht="18" customHeight="1">
      <c r="A1032" s="2" t="inlineStr">
        <is>
          <t>Ahmed Elsawye &lt;elsawye777@gmail.com&gt;</t>
        </is>
      </c>
      <c r="B1032" s="3" t="inlineStr">
        <is>
          <t>elsawye777@gmail.com</t>
        </is>
      </c>
      <c r="C1032" s="2" t="inlineStr">
        <is>
          <t xml:space="preserve">Remove this name </t>
        </is>
      </c>
      <c r="D1032" s="2" t="inlineStr">
        <is>
          <t>Hello! How can we help you?  Report حجامه من طرف المحامية سمر : 95591391   Sent from my iPhone</t>
        </is>
      </c>
      <c r="E1032" s="4" t="inlineStr">
        <is>
          <t>95591391</t>
        </is>
      </c>
    </row>
    <row r="1033" ht="18" customHeight="1">
      <c r="A1033" s="5" t="inlineStr">
        <is>
          <t>Ahmed Elsawye &lt;elsawye777@gmail.com&gt;</t>
        </is>
      </c>
      <c r="B1033" s="6" t="inlineStr">
        <is>
          <t>elsawye777@gmail.com</t>
        </is>
      </c>
      <c r="C1033" s="5" t="inlineStr">
        <is>
          <t>Remove this name</t>
        </is>
      </c>
      <c r="D1033" s="5" t="inlineStr">
        <is>
          <t>Hello! How can we help you?  Report Hajer 7jama : 95591391   Sent from my iPhone</t>
        </is>
      </c>
      <c r="E1033" s="7" t="inlineStr">
        <is>
          <t>95591391</t>
        </is>
      </c>
    </row>
    <row r="1034" ht="18" customHeight="1">
      <c r="A1034" s="2" t="inlineStr">
        <is>
          <t>Ahmed Elsawye &lt;elsawye777@gmail.com&gt;</t>
        </is>
      </c>
      <c r="B1034" s="3" t="inlineStr">
        <is>
          <t>elsawye777@gmail.com</t>
        </is>
      </c>
      <c r="C1034" s="2" t="inlineStr">
        <is>
          <t xml:space="preserve">Please remove this name </t>
        </is>
      </c>
      <c r="D1034" s="2" t="inlineStr">
        <is>
          <t>Hello! How can we help you?  Report الحجامه ام عبدالله : 95591391   Sent from my iPhone</t>
        </is>
      </c>
      <c r="E1034" s="4" t="inlineStr">
        <is>
          <t>95591391</t>
        </is>
      </c>
    </row>
    <row r="1035" ht="18" customHeight="1">
      <c r="A1035" s="5" t="inlineStr">
        <is>
          <t>Ahmed Elsawye &lt;elsawye777@gmail.com&gt;</t>
        </is>
      </c>
      <c r="B1035" s="6" t="inlineStr">
        <is>
          <t>elsawye777@gmail.com</t>
        </is>
      </c>
      <c r="C1035" s="5" t="inlineStr">
        <is>
          <t xml:space="preserve">In proper name </t>
        </is>
      </c>
      <c r="D1035" s="5" t="inlineStr">
        <is>
          <t>Hello! How can we help you?  Report هاجر المصحف : 95591391   Sent from my iPhone</t>
        </is>
      </c>
      <c r="E1035" s="7" t="inlineStr">
        <is>
          <t>95591391</t>
        </is>
      </c>
    </row>
    <row r="1036" ht="18" customHeight="1">
      <c r="A1036" s="2" t="inlineStr">
        <is>
          <t>Ahmed Elsawye &lt;elsawye777@gmail.com&gt;</t>
        </is>
      </c>
      <c r="B1036" s="3" t="inlineStr">
        <is>
          <t>elsawye777@gmail.com</t>
        </is>
      </c>
      <c r="C1036" s="2" t="inlineStr">
        <is>
          <t xml:space="preserve">Inappropriate name </t>
        </is>
      </c>
      <c r="D1036" s="2" t="inlineStr">
        <is>
          <t>Hello! How can we help you?  Report مدرسه علوم هاجر حجامه- : 95591391   Sent from my iPhone</t>
        </is>
      </c>
      <c r="E1036" s="4" t="inlineStr">
        <is>
          <t>95591391</t>
        </is>
      </c>
    </row>
    <row r="1037" ht="18" customHeight="1">
      <c r="A1037" s="5" t="inlineStr">
        <is>
          <t>Ahmed Elsawye &lt;elsawye777@gmail.com&gt;</t>
        </is>
      </c>
      <c r="B1037" s="6" t="inlineStr">
        <is>
          <t>elsawye777@gmail.com</t>
        </is>
      </c>
      <c r="C1037" s="5" t="inlineStr">
        <is>
          <t xml:space="preserve">Improper name </t>
        </is>
      </c>
      <c r="D1037" s="5" t="inlineStr">
        <is>
          <t>Hello! How can we help you?  Report ام عبدالله الحجامه- : 95591391   Sent from my iPhone</t>
        </is>
      </c>
      <c r="E1037" s="7" t="inlineStr">
        <is>
          <t>95591391</t>
        </is>
      </c>
    </row>
    <row r="1038" ht="18" customHeight="1">
      <c r="A1038" s="2" t="inlineStr">
        <is>
          <t>Asmaa &lt;mama.asmaa30@gmail.com&gt;</t>
        </is>
      </c>
      <c r="B1038" s="3" t="inlineStr">
        <is>
          <t>mama.asmaa30@gmail.com</t>
        </is>
      </c>
      <c r="C1038" s="2">
        <f>?UTF-8?B?2LfZhNioINit2LDZgQ==?=</f>
        <v/>
      </c>
      <c r="D1038" s="2" t="inlineStr">
        <is>
          <t xml:space="preserve">السلام عليكم ارجو حذف عنوان منزلي بالكامل لما فيه من خصوصيه بيانات سكني الخاص </t>
        </is>
      </c>
      <c r="E1038" s="4" t="inlineStr"/>
    </row>
    <row r="1039" ht="18" customHeight="1">
      <c r="A1039" s="5" t="inlineStr">
        <is>
          <t>B K &lt;nseeetne@gmail.com&gt;</t>
        </is>
      </c>
      <c r="B1039" s="6" t="inlineStr">
        <is>
          <t>nseeetne@gmail.com</t>
        </is>
      </c>
      <c r="C1039" s="5">
        <f>?utf-8?B?2K3YsNmBINin2YTYp9iz2YUg2YXZhiDYqNit2Ksg2KfZhNix2YI=?=  =?utf-8?B?2YU=?=</f>
        <v/>
      </c>
      <c r="D1039" s="5" t="inlineStr">
        <is>
          <t>Hello! How can we help you?  Report ام بندر : 52225008  السلام عليكم الرجاء حذف هذا الاسم يسبب مشاكل لي ‏‫من الـ iPhone الخاص بي‬</t>
        </is>
      </c>
      <c r="E1039" s="7" t="inlineStr">
        <is>
          <t>52225008</t>
        </is>
      </c>
    </row>
    <row r="1040" ht="18" customHeight="1">
      <c r="A1040" s="2" t="inlineStr">
        <is>
          <t>Yousef Khaleel &lt;yousef.v12@icloud.com&gt;</t>
        </is>
      </c>
      <c r="B1040" s="3" t="inlineStr">
        <is>
          <t>yousef.v12@icloud.com</t>
        </is>
      </c>
      <c r="C1040" s="2" t="inlineStr"/>
      <c r="D1040" s="2" t="inlineStr">
        <is>
          <t>Hello! How can we help you?  Report النعامه- : 67669606   Sent from my iPhone</t>
        </is>
      </c>
      <c r="E1040" s="4" t="inlineStr">
        <is>
          <t>67669606</t>
        </is>
      </c>
    </row>
    <row r="1041" ht="18" customHeight="1">
      <c r="A1041" s="5" t="inlineStr">
        <is>
          <t>hamo ooooodq &lt;hamoooooodq8kw@icloud.com&gt;</t>
        </is>
      </c>
      <c r="B1041" s="6" t="inlineStr">
        <is>
          <t>hamoooooodq8kw@icloud.com</t>
        </is>
      </c>
      <c r="C1041" s="5">
        <f>?utf-8?B?2YXYs9itINin2YTYqti52YTZitmC?=</f>
        <v/>
      </c>
      <c r="D1041" s="5" t="inlineStr">
        <is>
          <t xml:space="preserve">Hello! How can we help you?  Report خدوج بورش : 94772225   ‫أُرسلت من الـ iPhone‬ الرجاء مسح التعليق   </t>
        </is>
      </c>
      <c r="E1041" s="7" t="inlineStr">
        <is>
          <t>94772225</t>
        </is>
      </c>
    </row>
    <row r="1042" ht="18" customHeight="1">
      <c r="A1042" s="2">
        <f>?utf-8?B?2YXYrdmF2K8g2KfZhNiy2LnYqNmK?= &lt;mmopsa7@gmail.com&gt;</f>
        <v/>
      </c>
      <c r="B1042" s="3" t="inlineStr">
        <is>
          <t>mmopsa7@gmail.com</t>
        </is>
      </c>
      <c r="C1042" s="2">
        <f>?utf-8?B?INmD2YTZhdmHINio2LDZitim2Ycg2KfYsdis2Ygg2YXYs9it2Yc=?=  =?utf-8?B?2Kc=?=</f>
        <v/>
      </c>
      <c r="D1042" s="2" t="inlineStr">
        <is>
          <t>Hello! How can we help you?  Report تنكه محمد صبيح : 66177159   ‫أُرسلت من الـ iPhone‬</t>
        </is>
      </c>
      <c r="E1042" s="4" t="inlineStr">
        <is>
          <t>66177159</t>
        </is>
      </c>
    </row>
    <row r="1043" ht="18" customHeight="1">
      <c r="A1043" s="5" t="inlineStr">
        <is>
          <t>Faisal Albannay &lt;elf9ly@icloud.com&gt;</t>
        </is>
      </c>
      <c r="B1043" s="6" t="inlineStr">
        <is>
          <t>elf9ly@icloud.com</t>
        </is>
      </c>
      <c r="C1043" s="5">
        <f>?utf-8?B?2YXYs9itINin2YTYp9iz2YU=?=</f>
        <v/>
      </c>
      <c r="D1043" s="5" t="inlineStr">
        <is>
          <t>ممكن تمسح الاسم  Report فيصل : 41000102   Sent from my iPhone</t>
        </is>
      </c>
      <c r="E1043" s="7" t="inlineStr">
        <is>
          <t>41000102</t>
        </is>
      </c>
    </row>
    <row r="1044" ht="18" customHeight="1">
      <c r="A1044" s="2" t="inlineStr">
        <is>
          <t>mariam alshaiji &lt;mariam-alshaiji@hotmail.com&gt;</t>
        </is>
      </c>
      <c r="B1044" s="3" t="inlineStr">
        <is>
          <t>mariam-alshaiji@hotmail.com</t>
        </is>
      </c>
      <c r="C1044" s="2" t="inlineStr"/>
      <c r="D1044" s="2" t="inlineStr">
        <is>
          <t xml:space="preserve">Hello! How can we help you?  Report سارة الشهداء ق1 ش107م107 مريم : 97214427    الرجاء مسح عنوان المنزل للضروره </t>
        </is>
      </c>
      <c r="E1044" s="4" t="inlineStr">
        <is>
          <t>97214427</t>
        </is>
      </c>
    </row>
    <row r="1045" ht="18" customHeight="1">
      <c r="A1045" s="5" t="inlineStr">
        <is>
          <t>Tariq alfarisi &lt;taalfarisi77@gmail.com&gt;</t>
        </is>
      </c>
      <c r="B1045" s="6" t="inlineStr">
        <is>
          <t>taalfarisi77@gmail.com</t>
        </is>
      </c>
      <c r="C1045" s="5" t="inlineStr"/>
      <c r="D1045" s="5" t="inlineStr">
        <is>
          <t xml:space="preserve">Hello! How can we help you?  Report Bez Tariq 80- : 97430003   Sent from my iPhoneالرجاء مسح الرقم </t>
        </is>
      </c>
      <c r="E1045" s="7" t="inlineStr">
        <is>
          <t>97430003</t>
        </is>
      </c>
    </row>
    <row r="1046" ht="18" customHeight="1">
      <c r="A1046" s="2" t="inlineStr">
        <is>
          <t>Abdulla Alkandry &lt;a.rowghni@gmail.com&gt;</t>
        </is>
      </c>
      <c r="B1046" s="3" t="inlineStr">
        <is>
          <t>a.rowghni@gmail.com</t>
        </is>
      </c>
      <c r="C1046" s="2">
        <f>?utf-8?B?2KfZhNix2KzYp9ihINin2YTYutin2KEg2YfYsNinINin2YTYp9iz?=  =?utf-8?B?2YUg2YTZitizINin2LPZhdmKIA==?=</f>
        <v/>
      </c>
      <c r="D1046" s="2" t="inlineStr">
        <is>
          <t>Hello! How can we help you?  Report ايمان- : 99906606  يرجى شطب الاسم مو اسمي  ‫أُرسلت من الـ iPhone‬</t>
        </is>
      </c>
      <c r="E1046" s="4" t="inlineStr">
        <is>
          <t>99906606</t>
        </is>
      </c>
    </row>
    <row r="1047" ht="18" customHeight="1">
      <c r="A1047" s="5" t="inlineStr">
        <is>
          <t>abdullah elhmade &lt;abdullah7elhmade@gmail.com&gt;</t>
        </is>
      </c>
      <c r="B1047" s="6" t="inlineStr">
        <is>
          <t>abdullah7elhmade@gmail.com</t>
        </is>
      </c>
      <c r="C1047" s="5">
        <f>?utf-8?B?2KfYs9in2KHYqSDZhNmE2KPYs9mF?=</f>
        <v/>
      </c>
      <c r="D1047" s="5" t="inlineStr">
        <is>
          <t>Hello! How can we help you?  Report يبيع جلب جيرمن : 56665654   Sent from my iPhone</t>
        </is>
      </c>
      <c r="E1047" s="7" t="inlineStr">
        <is>
          <t>56665654</t>
        </is>
      </c>
    </row>
    <row r="1048" ht="18" customHeight="1">
      <c r="A1048" s="2" t="inlineStr">
        <is>
          <t>abdullah elhmade &lt;abdullah7elhmade@gmail.com&gt;</t>
        </is>
      </c>
      <c r="B1048" s="3" t="inlineStr">
        <is>
          <t>abdullah7elhmade@gmail.com</t>
        </is>
      </c>
      <c r="C1048" s="2">
        <f>?utf-8?B?2KfYs9in2KHYqSDZhNmE2KfYs9mF?=</f>
        <v/>
      </c>
      <c r="D1048" s="2" t="inlineStr">
        <is>
          <t>Hello! How can we help you?  Report ال مالي : 56665654   Sent from my iPhone</t>
        </is>
      </c>
      <c r="E1048" s="4" t="inlineStr">
        <is>
          <t>56665654</t>
        </is>
      </c>
    </row>
    <row r="1049" ht="18" customHeight="1">
      <c r="A1049" s="5">
        <f>?utf-8?B?MjAxMSDYp9mE2LTYt9mK?= &lt;qads2002@hotmail.com&gt;</f>
        <v/>
      </c>
      <c r="B1049" s="6" t="inlineStr">
        <is>
          <t>qads2002@hotmail.com</t>
        </is>
      </c>
      <c r="C1049" s="5">
        <f>?utf-8?B?2KfZhNin2LPYp9ih2Kkg2YTZiiDYtNiu2LXZitinINmF2YYg2YLYqNmEINmH?=  =?utf-8?B?2LDYpyDYp9mE2LHZgtmF?=</f>
        <v/>
      </c>
      <c r="D1049" s="5" t="inlineStr">
        <is>
          <t xml:space="preserve">Hello! How can we help you?  Report زوج نوده : 95559936  ‫أُرسلت من الـ iPhone‬ </t>
        </is>
      </c>
      <c r="E1049" s="7" t="inlineStr">
        <is>
          <t>95559936</t>
        </is>
      </c>
    </row>
    <row r="1050" ht="18" customHeight="1">
      <c r="A1050" s="2" t="inlineStr">
        <is>
          <t>ssak kwait &lt;ssakq8@gmail.com&gt;</t>
        </is>
      </c>
      <c r="B1050" s="3" t="inlineStr">
        <is>
          <t>ssakq8@gmail.com</t>
        </is>
      </c>
      <c r="C1050" s="2">
        <f>?utf-8?B?2KfZhNi62KfYoSDYp9mE2KfYs9mFIA==?=</f>
        <v/>
      </c>
      <c r="D1050" s="2" t="inlineStr">
        <is>
          <t xml:space="preserve">Hello! How can we help you?  Report سماعه امتيحانات- : 55853555   سلمان صالح خلف سلامه   </t>
        </is>
      </c>
      <c r="E1050" s="4" t="inlineStr">
        <is>
          <t>55853555</t>
        </is>
      </c>
    </row>
    <row r="1051" ht="18" customHeight="1">
      <c r="A1051" s="5" t="inlineStr">
        <is>
          <t>N Alotaibi &lt;lbnmra3i@gmail.com&gt;</t>
        </is>
      </c>
      <c r="B1051" s="6" t="inlineStr">
        <is>
          <t>lbnmra3i@gmail.com</t>
        </is>
      </c>
      <c r="C1051" s="5">
        <f>?utf-8?B?2KfZhNin2LPZhSDYutmK2LEg2YTYp9im2YI=?=</f>
        <v/>
      </c>
      <c r="D1051" s="5" t="inlineStr">
        <is>
          <t>Hello! How can we help you?  Report Fas3ooni N9ooryy : 94496666   Sent from my iPhone</t>
        </is>
      </c>
      <c r="E1051" s="7" t="inlineStr">
        <is>
          <t>94496666</t>
        </is>
      </c>
    </row>
    <row r="1052" ht="18" customHeight="1">
      <c r="A1052" s="2" t="inlineStr">
        <is>
          <t>saleh sami &lt;salehsami909@gmail.com&gt;</t>
        </is>
      </c>
      <c r="B1052" s="3" t="inlineStr">
        <is>
          <t>salehsami909@gmail.com</t>
        </is>
      </c>
      <c r="C1052" s="2" t="inlineStr"/>
      <c r="D1052" s="2" t="inlineStr">
        <is>
          <t>Hello! How can we help you?  Report عاها على المجتمع. : 90971413   Sent from my iPhone</t>
        </is>
      </c>
      <c r="E1052" s="4" t="inlineStr">
        <is>
          <t>90971413</t>
        </is>
      </c>
    </row>
    <row r="1053" ht="18" customHeight="1">
      <c r="A1053" s="5" t="inlineStr">
        <is>
          <t>Abdullah Aldehani &lt;abdullahaldehani69@gmail.com&gt;</t>
        </is>
      </c>
      <c r="B1053" s="6" t="inlineStr">
        <is>
          <t>abdullahaldehani69@gmail.com</t>
        </is>
      </c>
      <c r="C1053" s="5">
        <f>?utf-8?B?2KfYs9mFINmE2Kcg2KfYsdmK2K/ZhyDYp9iq2YXZhtmJINmF2LM=?=  =?utf-8?B?2K3Zhw==?=</f>
        <v/>
      </c>
      <c r="D1053" s="5" t="inlineStr">
        <is>
          <t>Hello! How can we help you?  Report أختي أم غلا- : 99255672   ‫أُرسلت من الـ iPhone‬</t>
        </is>
      </c>
      <c r="E1053" s="7" t="inlineStr">
        <is>
          <t>99255672</t>
        </is>
      </c>
    </row>
    <row r="1054" ht="18" customHeight="1">
      <c r="A1054" s="2" t="inlineStr">
        <is>
          <t>Abdullah Aldehani &lt;abdullahaldehani69@gmail.com&gt;</t>
        </is>
      </c>
      <c r="B1054" s="3" t="inlineStr">
        <is>
          <t>abdullahaldehani69@gmail.com</t>
        </is>
      </c>
      <c r="C1054" s="2">
        <f>?utf-8?B?2KfYs9mFINmE2Kcg2KfYsdmK2K/Zhw==?=</f>
        <v/>
      </c>
      <c r="D1054" s="2" t="inlineStr">
        <is>
          <t>Hello! How can we help you?  Report ام. شوق. مدرسه النهضه- : 99255672   ‫أُرسلت من الـ iPhone‬</t>
        </is>
      </c>
      <c r="E1054" s="4" t="inlineStr">
        <is>
          <t>99255672</t>
        </is>
      </c>
    </row>
    <row r="1055" ht="18" customHeight="1">
      <c r="A1055" s="5" t="inlineStr">
        <is>
          <t>Shwagah Nzgah &lt;shwagah_95@icloud.com&gt;</t>
        </is>
      </c>
      <c r="B1055" s="6" t="inlineStr">
        <is>
          <t>shwagah_95@icloud.com</t>
        </is>
      </c>
      <c r="C1055" s="5" t="inlineStr"/>
      <c r="D1055" s="5" t="inlineStr">
        <is>
          <t>Hello! How can we help you?  Report عبد الرحمن : 56666409   Sent from my iPhone</t>
        </is>
      </c>
      <c r="E1055" s="7" t="inlineStr">
        <is>
          <t>56666409</t>
        </is>
      </c>
    </row>
    <row r="1056" ht="18" customHeight="1">
      <c r="A1056" s="2" t="inlineStr">
        <is>
          <t>Hn An &lt;aeaxn.22@gmail.com&gt;</t>
        </is>
      </c>
      <c r="B1056" s="3" t="inlineStr">
        <is>
          <t>aeaxn.22@gmail.com</t>
        </is>
      </c>
      <c r="C1056" s="2">
        <f>?utf-8?B?2KfZhNix2KzYp9ihINmF2LPYrSDYp9mE2LPYp9mF2Kg=?=</f>
        <v/>
      </c>
      <c r="D1056" s="2" t="inlineStr">
        <is>
          <t>﻿ Hello! How can we help you?  Report وزباله و بنت تسال و تشرد : 65691000   ‫أُرسلت من الـ iPhone‬</t>
        </is>
      </c>
      <c r="E1056" s="4" t="inlineStr">
        <is>
          <t>65691000</t>
        </is>
      </c>
    </row>
    <row r="1057" ht="18" customHeight="1">
      <c r="A1057" s="5">
        <f>?utf-8?B?2YXYrdmF2K8g2YfYp9iv2Yo=?= &lt;q860606602@gmail.com&gt;</f>
        <v/>
      </c>
      <c r="B1057" s="6" t="inlineStr">
        <is>
          <t>q860606602@gmail.com</t>
        </is>
      </c>
      <c r="C1057" s="5" t="inlineStr"/>
      <c r="D1057" s="5" t="inlineStr">
        <is>
          <t>Hello! How can we help you?    هذا اسم غلط  ليس اسمي  Report محمد هادي بن بغمه- : 60606602   ‫أُرسلت من الـ iPhone‬</t>
        </is>
      </c>
      <c r="E1057" s="7" t="inlineStr">
        <is>
          <t>60606602</t>
        </is>
      </c>
    </row>
    <row r="1058" ht="18" customHeight="1">
      <c r="A1058" s="2" t="inlineStr">
        <is>
          <t>Hn An &lt;aeaxn.22@gmail.com&gt;</t>
        </is>
      </c>
      <c r="B1058" s="3" t="inlineStr">
        <is>
          <t>aeaxn.22@gmail.com</t>
        </is>
      </c>
      <c r="C1058" s="2">
        <f>?utf-8?B?2KfZhNix2KzYp9ihINmF2LPYrSDYp9mE2LPYp9mF2Kg=?=</f>
        <v/>
      </c>
      <c r="D1058" s="2" t="inlineStr">
        <is>
          <t>﻿ Hello! How can we help you?  Report وزباله و بنت تسال و تشرد : 65691000   ‫أُرسلت من الـ iPhone‬</t>
        </is>
      </c>
      <c r="E1058" s="4" t="inlineStr">
        <is>
          <t>65691000</t>
        </is>
      </c>
    </row>
    <row r="1059" ht="18" customHeight="1">
      <c r="A1059" s="5" t="inlineStr">
        <is>
          <t>Hn An &lt;aeaxn.22@gmail.com&gt;</t>
        </is>
      </c>
      <c r="B1059" s="6" t="inlineStr">
        <is>
          <t>aeaxn.22@gmail.com</t>
        </is>
      </c>
      <c r="C1059" s="5">
        <f>?utf-8?B?2KfZhNix2KzYp9ihINmF2LPYrSDYp9mE2LPYp9mF2Kg=?=</f>
        <v/>
      </c>
      <c r="D1059" s="5" t="inlineStr">
        <is>
          <t>﻿ Hello! How can we help you?  Report وزباله و بنت تسال و تشرد : 65691000   ‫أُرسلت من الـ iPhone‬</t>
        </is>
      </c>
      <c r="E1059" s="7" t="inlineStr">
        <is>
          <t>65691000</t>
        </is>
      </c>
    </row>
    <row r="1060" ht="18" customHeight="1">
      <c r="A1060" s="2" t="inlineStr">
        <is>
          <t>Hn An &lt;aeaxn.22@gmail.com&gt;</t>
        </is>
      </c>
      <c r="B1060" s="3" t="inlineStr">
        <is>
          <t>aeaxn.22@gmail.com</t>
        </is>
      </c>
      <c r="C1060" s="2">
        <f>?utf-8?B?2KfZhNix2KzYp9ihINmF2LPYrSDYp9mE2LPYp9mF2Kg=?=</f>
        <v/>
      </c>
      <c r="D1060" s="2" t="inlineStr">
        <is>
          <t>﻿ Hello! How can we help you?  Report وزباله و بنت تسال و تشرد : 65691000   ‫أُرسلت من الـ iPhone‬</t>
        </is>
      </c>
      <c r="E1060" s="4" t="inlineStr">
        <is>
          <t>65691000</t>
        </is>
      </c>
    </row>
    <row r="1061" ht="18" customHeight="1">
      <c r="A1061" s="5" t="inlineStr">
        <is>
          <t>Hn An &lt;aeaxn.22@gmail.com&gt;</t>
        </is>
      </c>
      <c r="B1061" s="6" t="inlineStr">
        <is>
          <t>aeaxn.22@gmail.com</t>
        </is>
      </c>
      <c r="C1061" s="5">
        <f>?utf-8?B?2KfZhNix2KzYp9ihINmF2LPYrSDYp9mE2LPYp9mF2Kg=?=</f>
        <v/>
      </c>
      <c r="D1061" s="5" t="inlineStr">
        <is>
          <t>﻿ Hello! How can we help you?  Report وزباله و بنت تسال و تشرد : 65691000   ‫أُرسلت من الـ iPhone‬</t>
        </is>
      </c>
      <c r="E1061" s="7" t="inlineStr">
        <is>
          <t>65691000</t>
        </is>
      </c>
    </row>
    <row r="1062" ht="18" customHeight="1">
      <c r="A1062" s="2" t="inlineStr">
        <is>
          <t>Hn An &lt;aeaxn.22@gmail.com&gt;</t>
        </is>
      </c>
      <c r="B1062" s="3" t="inlineStr">
        <is>
          <t>aeaxn.22@gmail.com</t>
        </is>
      </c>
      <c r="C1062" s="2">
        <f>?utf-8?B?2KfZhNix2KzYp9ihINmF2LPYrSDYp9mE2LPYp9mF2Kg=?=</f>
        <v/>
      </c>
      <c r="D1062" s="2" t="inlineStr">
        <is>
          <t>﻿ Hello! How can we help you?  Report وزباله و بنت تسال و تشرد : 65691000   ‫أُرسلت من الـ iPhone‬</t>
        </is>
      </c>
      <c r="E1062" s="4" t="inlineStr">
        <is>
          <t>65691000</t>
        </is>
      </c>
    </row>
    <row r="1063" ht="18" customHeight="1">
      <c r="A1063" s="5" t="inlineStr">
        <is>
          <t>Hn An &lt;aeaxn.22@gmail.com&gt;</t>
        </is>
      </c>
      <c r="B1063" s="6" t="inlineStr">
        <is>
          <t>aeaxn.22@gmail.com</t>
        </is>
      </c>
      <c r="C1063" s="5">
        <f>?utf-8?B?2KfZhNix2KzYp9ihINmF2LPYrSDYp9mE2LPYp9mF2Kg=?=</f>
        <v/>
      </c>
      <c r="D1063" s="5" t="inlineStr">
        <is>
          <t>﻿ Hello! How can we help you?  Report وزباله و بنت تسال و تشرد : 65691000   ‫أُرسلت من الـ iPhone‬</t>
        </is>
      </c>
      <c r="E1063" s="7" t="inlineStr">
        <is>
          <t>65691000</t>
        </is>
      </c>
    </row>
    <row r="1064" ht="18" customHeight="1">
      <c r="A1064" s="2" t="inlineStr">
        <is>
          <t>Hn An &lt;aeaxn.22@gmail.com&gt;</t>
        </is>
      </c>
      <c r="B1064" s="3" t="inlineStr">
        <is>
          <t>aeaxn.22@gmail.com</t>
        </is>
      </c>
      <c r="C1064" s="2">
        <f>?utf-8?B?2KfZhNix2KzYp9ihINmF2LPYrSDYp9mE2LPYp9mF2Kg=?=</f>
        <v/>
      </c>
      <c r="D1064" s="2" t="inlineStr">
        <is>
          <t>﻿ Hello! How can we help you?  Report وزباله و بنت تسال و تشرد : 65691000   ‫أُرسلت من الـ iPhone‬</t>
        </is>
      </c>
      <c r="E1064" s="4" t="inlineStr">
        <is>
          <t>65691000</t>
        </is>
      </c>
    </row>
    <row r="1065" ht="18" customHeight="1">
      <c r="A1065" s="5" t="inlineStr">
        <is>
          <t>Hn An &lt;aeaxn.22@gmail.com&gt;</t>
        </is>
      </c>
      <c r="B1065" s="6" t="inlineStr">
        <is>
          <t>aeaxn.22@gmail.com</t>
        </is>
      </c>
      <c r="C1065" s="5">
        <f>?utf-8?B?2KfZhNix2KzYp9ihINmF2LPYrSDYp9mE2LPYp9mF2Kg=?=</f>
        <v/>
      </c>
      <c r="D1065" s="5" t="inlineStr">
        <is>
          <t>﻿ Hello! How can we help you?  Report وزباله و بنت تسال و تشرد : 65691000   ‫أُرسلت من الـ iPhone‬</t>
        </is>
      </c>
      <c r="E1065" s="7" t="inlineStr">
        <is>
          <t>65691000</t>
        </is>
      </c>
    </row>
    <row r="1066" ht="18" customHeight="1">
      <c r="A1066" s="2" t="inlineStr">
        <is>
          <t>Hn An &lt;aeaxn.22@gmail.com&gt;</t>
        </is>
      </c>
      <c r="B1066" s="3" t="inlineStr">
        <is>
          <t>aeaxn.22@gmail.com</t>
        </is>
      </c>
      <c r="C1066" s="2">
        <f>?utf-8?B?2KfZhNix2KzYp9ihINmF2LPYrSDYp9mE2LPYp9mF2Kg=?=</f>
        <v/>
      </c>
      <c r="D1066" s="2" t="inlineStr">
        <is>
          <t>﻿ Hello! How can we help you?  Report وزباله و بنت تسال و تشرد : 65691000   ‫أُرسلت من الـ iPhone‬</t>
        </is>
      </c>
      <c r="E1066" s="4" t="inlineStr">
        <is>
          <t>65691000</t>
        </is>
      </c>
    </row>
    <row r="1067" ht="18" customHeight="1">
      <c r="A1067" s="5" t="inlineStr">
        <is>
          <t>Hn An &lt;aeaxn.22@gmail.com&gt;</t>
        </is>
      </c>
      <c r="B1067" s="6" t="inlineStr">
        <is>
          <t>aeaxn.22@gmail.com</t>
        </is>
      </c>
      <c r="C1067" s="5">
        <f>?utf-8?B?2KfZhNix2KzYp9ihINmF2LPYrSDYp9mE2LPYp9mF2Kg=?=</f>
        <v/>
      </c>
      <c r="D1067" s="5" t="inlineStr">
        <is>
          <t>﻿ Hello! How can we help you?  Report وزباله و بنت تسال و تشرد : 65691000   ‫أُرسلت من الـ iPhone‬</t>
        </is>
      </c>
      <c r="E1067" s="7" t="inlineStr">
        <is>
          <t>65691000</t>
        </is>
      </c>
    </row>
    <row r="1068" ht="18" customHeight="1">
      <c r="A1068" s="2" t="inlineStr">
        <is>
          <t>Hn An &lt;aeaxn.22@gmail.com&gt;</t>
        </is>
      </c>
      <c r="B1068" s="3" t="inlineStr">
        <is>
          <t>aeaxn.22@gmail.com</t>
        </is>
      </c>
      <c r="C1068" s="2">
        <f>?utf-8?B?2KfZhNix2KzYp9ihINmF2LPYrSDYp9mE2LPYp9mF2Kg=?=</f>
        <v/>
      </c>
      <c r="D1068" s="2" t="inlineStr">
        <is>
          <t>﻿ Hello! How can we help you?  Report وزباله و بنت تسال و تشرد : 65691000   ‫أُرسلت من الـ iPhone‬</t>
        </is>
      </c>
      <c r="E1068" s="4" t="inlineStr">
        <is>
          <t>65691000</t>
        </is>
      </c>
    </row>
    <row r="1069" ht="18" customHeight="1">
      <c r="A1069" s="5" t="inlineStr">
        <is>
          <t>Hn An &lt;aeaxn.22@gmail.com&gt;</t>
        </is>
      </c>
      <c r="B1069" s="6" t="inlineStr">
        <is>
          <t>aeaxn.22@gmail.com</t>
        </is>
      </c>
      <c r="C1069" s="5">
        <f>?utf-8?B?2KfZhNix2KzYp9ihINmF2LPYrSDYp9mE2LPYp9mF2Kg=?=</f>
        <v/>
      </c>
      <c r="D1069" s="5" t="inlineStr">
        <is>
          <t>Hello! How can we help you?  Report وزباله و بنت تسال و تشرد : 65691000   ‫أُرسلت من الـ iPhone‬</t>
        </is>
      </c>
      <c r="E1069" s="7" t="inlineStr">
        <is>
          <t>65691000</t>
        </is>
      </c>
    </row>
    <row r="1070" ht="18" customHeight="1">
      <c r="A1070" s="2" t="inlineStr">
        <is>
          <t>abofadak777@icloud.com</t>
        </is>
      </c>
      <c r="B1070" s="3" t="inlineStr">
        <is>
          <t>abofadak777@icloud.com</t>
        </is>
      </c>
      <c r="C1070" s="2" t="inlineStr"/>
      <c r="D1070" s="2" t="inlineStr">
        <is>
          <t>Hello! How can we help you?  Report متطفلين حسب بلاغات من بلدك KW :  ارجو حذف رقمي من البرنامج ‫أُرسلت من الـ iPhone‬</t>
        </is>
      </c>
      <c r="E1070" s="4" t="inlineStr"/>
    </row>
    <row r="1071" ht="18" customHeight="1">
      <c r="A1071" s="5" t="inlineStr">
        <is>
          <t>Anoud Alotaibi &lt;anoudalhabbai2@icloud.com&gt;</t>
        </is>
      </c>
      <c r="B1071" s="6" t="inlineStr">
        <is>
          <t>anoudalhabbai2@icloud.com</t>
        </is>
      </c>
      <c r="C1071" s="5" t="inlineStr"/>
      <c r="D1071" s="5" t="inlineStr">
        <is>
          <t>Hello! How can we help you?  Report شاليه- : 50002055   Sent from my iPhone</t>
        </is>
      </c>
      <c r="E1071" s="7" t="inlineStr">
        <is>
          <t>50002055</t>
        </is>
      </c>
    </row>
    <row r="1072" ht="18" customHeight="1">
      <c r="A1072" s="2" t="inlineStr">
        <is>
          <t>Anoud Alotaibi &lt;anoudalhabbai2@icloud.com&gt;</t>
        </is>
      </c>
      <c r="B1072" s="3" t="inlineStr">
        <is>
          <t>anoudalhabbai2@icloud.com</t>
        </is>
      </c>
      <c r="C1072" s="2" t="inlineStr"/>
      <c r="D1072" s="2" t="inlineStr">
        <is>
          <t>Hello! How can we help you?  Report عبد العزيز قعيد- : 50002055   Sent from my iPhone</t>
        </is>
      </c>
      <c r="E1072" s="4" t="inlineStr">
        <is>
          <t>50002055</t>
        </is>
      </c>
    </row>
    <row r="1073" ht="18" customHeight="1">
      <c r="A1073" s="5" t="inlineStr">
        <is>
          <t>Anoud Alotaibi &lt;anoudalhabbai2@icloud.com&gt;</t>
        </is>
      </c>
      <c r="B1073" s="6" t="inlineStr">
        <is>
          <t>anoudalhabbai2@icloud.com</t>
        </is>
      </c>
      <c r="C1073" s="5" t="inlineStr"/>
      <c r="D1073" s="5" t="inlineStr">
        <is>
          <t>Hello! How can we help you?  Report دبوسعود عبدالعزيز الشمري- : 50002055   Sent from my iPhone</t>
        </is>
      </c>
      <c r="E1073" s="7" t="inlineStr">
        <is>
          <t>50002055</t>
        </is>
      </c>
    </row>
    <row r="1074" ht="18" customHeight="1">
      <c r="A1074" s="2" t="inlineStr">
        <is>
          <t>Anoud Alotaibi &lt;anoudalhabbai2@icloud.com&gt;</t>
        </is>
      </c>
      <c r="B1074" s="3" t="inlineStr">
        <is>
          <t>anoudalhabbai2@icloud.com</t>
        </is>
      </c>
      <c r="C1074" s="2" t="inlineStr"/>
      <c r="D1074" s="2" t="inlineStr">
        <is>
          <t>Hello! How can we help you?  Report Shaliet-Kuwait : 50002055   Sent from my iPhone</t>
        </is>
      </c>
      <c r="E1074" s="4" t="inlineStr">
        <is>
          <t>50002055</t>
        </is>
      </c>
    </row>
    <row r="1075" ht="18" customHeight="1">
      <c r="A1075" s="5" t="inlineStr">
        <is>
          <t>Anoud Alotaibi &lt;anoudalhabbai2@icloud.com&gt;</t>
        </is>
      </c>
      <c r="B1075" s="6" t="inlineStr">
        <is>
          <t>anoudalhabbai2@icloud.com</t>
        </is>
      </c>
      <c r="C1075" s="5" t="inlineStr"/>
      <c r="D1075" s="5" t="inlineStr">
        <is>
          <t>Hello! How can we help you?  Report عزيز- : 50002055   Sent from my iPhone</t>
        </is>
      </c>
      <c r="E1075" s="7" t="inlineStr">
        <is>
          <t>50002055</t>
        </is>
      </c>
    </row>
    <row r="1076" ht="18" customHeight="1">
      <c r="A1076" s="2" t="inlineStr">
        <is>
          <t>Anoud Alotaibi &lt;anoudalhabbai2@icloud.com&gt;</t>
        </is>
      </c>
      <c r="B1076" s="3" t="inlineStr">
        <is>
          <t>anoudalhabbai2@icloud.com</t>
        </is>
      </c>
      <c r="C1076" s="2" t="inlineStr"/>
      <c r="D1076" s="2" t="inlineStr">
        <is>
          <t>Hello! How can we help you?  Report عبدالعزيز سعود قعيد- : 50002055   Sent from my iPhone</t>
        </is>
      </c>
      <c r="E1076" s="4" t="inlineStr">
        <is>
          <t>50002055</t>
        </is>
      </c>
    </row>
    <row r="1077" ht="18" customHeight="1">
      <c r="A1077" s="5" t="inlineStr">
        <is>
          <t>Anoud Alotaibi &lt;anoudalhabbai2@icloud.com&gt;</t>
        </is>
      </c>
      <c r="B1077" s="6" t="inlineStr">
        <is>
          <t>anoudalhabbai2@icloud.com</t>
        </is>
      </c>
      <c r="C1077" s="5" t="inlineStr"/>
      <c r="D1077" s="5" t="inlineStr">
        <is>
          <t>Hello! How can we help you?  Report Chalets.q8- : 50002055   Sent from my iPhone</t>
        </is>
      </c>
      <c r="E1077" s="7" t="inlineStr">
        <is>
          <t>50002055</t>
        </is>
      </c>
    </row>
    <row r="1078" ht="18" customHeight="1">
      <c r="A1078" s="2" t="inlineStr">
        <is>
          <t>fahad q8 &lt;fhd1114@gmail.com&gt;</t>
        </is>
      </c>
      <c r="B1078" s="3" t="inlineStr">
        <is>
          <t>fhd1114@gmail.com</t>
        </is>
      </c>
      <c r="C1078" s="2">
        <f>?UTF-8?B?UmU6INmE2YXYp9iw2Kcg2KrZhSDYrdiw2YEg2KfYtNiq2LHYp9mD2Yog2J8=?=</f>
        <v/>
      </c>
      <c r="D1078" s="2" t="inlineStr">
        <is>
          <t xml:space="preserve">تم تجديد الاشتراك شهر 4  وتم دفع رسوم الاشتراك لمدة سنه  يعني اشتراكي المفروض ينتهي شهر اربعه القادم  وصلني الان مسج بانتهاء الاشتراك   والفاتوره موجوده   ارجو حل هذه المشكله   وشكرا    في جمعة، 11 أبريل، 2025 في 8:39 ص، كتب Menodag sale   &lt;sales@menodag.com&gt;:  &gt; Done &gt; &gt; On Tue, Apr 1, 2025 at 12:44 AM &lt;fhd1114@gmail.com&gt; wrote: &gt; &gt;&gt; Hello! How can we help you? &gt;&gt; &gt;&gt; ‫ مرحبا عزيزي .. اول مره دفعت اشتراك حذف رقمي بعدها بثلاث شهور تم حذف &gt;&gt; اشتراكي بعدها رحت اشتركت مره ثانيه .. وحاليا تم حذف اشتراكي علما ان اشتراكي &gt;&gt; لمدة سنه .. مممن اعرف ليش حذفت الاشتراك  .. ارجو الرد وشكرا 💐 &gt;&gt; &gt;&gt; &gt;&gt; رقم الهاتف 55000997 &gt;&gt; &gt;&gt; المحامي فهد الجاسمي &gt;&gt; &gt; </t>
        </is>
      </c>
      <c r="E1078" s="4" t="inlineStr">
        <is>
          <t>55000997</t>
        </is>
      </c>
    </row>
    <row r="1079" ht="18" customHeight="1">
      <c r="A1079" s="5" t="inlineStr">
        <is>
          <t>aziz otb &lt;azizotb1989@gmail.com&gt;</t>
        </is>
      </c>
      <c r="B1079" s="6" t="inlineStr">
        <is>
          <t>azizotb1989@gmail.com</t>
        </is>
      </c>
      <c r="C1079" s="5">
        <f>?utf-8?B?2LfZhNioINiq2LnYr9mK2YQg2KjZitin2YbYp9iqIA==?=</f>
        <v/>
      </c>
      <c r="D1079" s="5" t="inlineStr">
        <is>
          <t xml:space="preserve"> ‫أُرسلت من الـ iPhone السلام عليكم  انا عبدالعزيز العتيبي  صاحب الرقم 66886122  ارجو تصحيح معرفه الاسم عن طريق تطبيقكم  ومسح الاسم القديم اللي هو محمود الحلاق محمود لانوي صالون لانوي  محمود ابو ميدو  مع العلم اني اكثر من مره اجحب الرقم من خلال خدمتكم  لكن اريد تصحيح هذا الاسم في تطبيقكم لان هذا الخط امتلكه لاكثر من 11 سنه وشكرًا لكم    </t>
        </is>
      </c>
      <c r="E1079" s="7" t="inlineStr">
        <is>
          <t>66886122</t>
        </is>
      </c>
    </row>
    <row r="1080" ht="18" customHeight="1">
      <c r="A1080" s="2" t="inlineStr">
        <is>
          <t>aseel alkanan &lt;aseel899@outlook.com&gt;</t>
        </is>
      </c>
      <c r="B1080" s="3" t="inlineStr">
        <is>
          <t>aseel899@outlook.com</t>
        </is>
      </c>
      <c r="C1080" s="2">
        <f>?utf-8?B?2KfZhNin2LPZhSDYutmK2LEg2YTYp9im2YI=?=</f>
        <v/>
      </c>
      <c r="D1080" s="2" t="inlineStr">
        <is>
          <t xml:space="preserve">Hello! How can we help you?  Report احمد الكنعان 2 : 99980842   ‫أُرسلت من الـ iPhone‬ </t>
        </is>
      </c>
      <c r="E1080" s="4" t="inlineStr">
        <is>
          <t>99980842</t>
        </is>
      </c>
    </row>
    <row r="1081" ht="18" customHeight="1">
      <c r="A1081" s="5" t="inlineStr">
        <is>
          <t>aseel alkanan &lt;aseel899@outlook.com&gt;</t>
        </is>
      </c>
      <c r="B1081" s="6" t="inlineStr">
        <is>
          <t>aseel899@outlook.com</t>
        </is>
      </c>
      <c r="C1081" s="5">
        <f>?utf-8?B?2YPYqtin2KjZhyDYudmG2YjYp9mGINio2YrYqtmKINmK2YfYr9ivINit2Yo=?=  =?utf-8?B?2KfYqtmK?=</f>
        <v/>
      </c>
      <c r="D1081" s="5" t="inlineStr">
        <is>
          <t xml:space="preserve">Hello! How can we help you?  Report القادسية ق8ش80م12 : 99980842   ‫أُرسلت من الـ iPhone‬ </t>
        </is>
      </c>
      <c r="E1081" s="7" t="inlineStr">
        <is>
          <t>99980842</t>
        </is>
      </c>
    </row>
    <row r="1082" ht="18" customHeight="1">
      <c r="A1082" s="2" t="inlineStr">
        <is>
          <t>Azoz Matep &lt;azozmatep57@gmail.com&gt;</t>
        </is>
      </c>
      <c r="B1082" s="3" t="inlineStr">
        <is>
          <t>azozmatep57@gmail.com</t>
        </is>
      </c>
      <c r="C1082" s="2">
        <f>?utf-8?B?2YfYsNinINmE2YrYsyDYp9iz2YXZig==?=</f>
        <v/>
      </c>
      <c r="D1082" s="2" t="inlineStr">
        <is>
          <t>Hello! How can we help you?  Report بش بش جديد : 91111562   ‫أُرسلت من الـ iPhone‬</t>
        </is>
      </c>
      <c r="E1082" s="4" t="inlineStr">
        <is>
          <t>91111562</t>
        </is>
      </c>
    </row>
    <row r="1083" ht="18" customHeight="1">
      <c r="A1083" s="5" t="inlineStr">
        <is>
          <t>Sulaiman Alahmad &lt;alahmad87@icloud.com&gt;</t>
        </is>
      </c>
      <c r="B1083" s="6" t="inlineStr">
        <is>
          <t>alahmad87@icloud.com</t>
        </is>
      </c>
      <c r="C1083" s="5" t="inlineStr"/>
      <c r="D1083" s="5" t="inlineStr">
        <is>
          <t xml:space="preserve">Hello! How can we help you?  Report محمد الخالدي مبارك شطاف : 99966585  الرجاء إلغاء هذا الاسم  مع جزيل الشكر   </t>
        </is>
      </c>
      <c r="E1083" s="7" t="inlineStr">
        <is>
          <t>99966585</t>
        </is>
      </c>
    </row>
    <row r="1084" ht="18" customHeight="1">
      <c r="A1084" s="2" t="inlineStr">
        <is>
          <t>Huda Alsafran &lt;alsafranhuda@gmail.com&gt;</t>
        </is>
      </c>
      <c r="B1084" s="3" t="inlineStr">
        <is>
          <t>alsafranhuda@gmail.com</t>
        </is>
      </c>
      <c r="C1084" s="2" t="inlineStr"/>
      <c r="D1084" s="2" t="inlineStr">
        <is>
          <t>Hello! How can we help you?  Report متطفلين حسب بلاغات من بلدك KW :   ‫أُرسلت من الـ iPhone‬</t>
        </is>
      </c>
      <c r="E1084" s="4" t="inlineStr"/>
    </row>
    <row r="1085" ht="18" customHeight="1">
      <c r="A1085" s="5" t="inlineStr">
        <is>
          <t>Huda Alsafran &lt;alsafranhuda@gmail.com&gt;</t>
        </is>
      </c>
      <c r="B1085" s="6" t="inlineStr">
        <is>
          <t>alsafranhuda@gmail.com</t>
        </is>
      </c>
      <c r="C1085" s="5" t="inlineStr"/>
      <c r="D1085" s="5" t="inlineStr">
        <is>
          <t>Hello! How can we help you?  Report متطفلين حسب بلاغات من بلدك KW :   ‫أُرسلت من الـ iPhone‬</t>
        </is>
      </c>
      <c r="E1085" s="7" t="inlineStr"/>
    </row>
    <row r="1086" ht="18" customHeight="1">
      <c r="A1086" s="2" t="inlineStr">
        <is>
          <t>Hn An &lt;aeaxn.22@gmail.com&gt;</t>
        </is>
      </c>
      <c r="B1086" s="3" t="inlineStr">
        <is>
          <t>aeaxn.22@gmail.com</t>
        </is>
      </c>
      <c r="C1086" s="2">
        <f>?utf-8?B?2KfZhNiz2YTYp9mFINmI2KfZhNix2K3ZhdmHINin2YTYsdit2Kc=?=  =?utf-8?B?2KEg2YXYs9itINin2YTYp9iz2KfYptmH?=</f>
        <v/>
      </c>
      <c r="D1086" s="2" t="inlineStr">
        <is>
          <t>﻿ Hello! How can we help you?  Report وزباله و بنت تسال و تشرد : 65691000   ‫أُرسلت من الـ iPhone‬</t>
        </is>
      </c>
      <c r="E1086" s="4" t="inlineStr">
        <is>
          <t>65691000</t>
        </is>
      </c>
    </row>
    <row r="1087" ht="18" customHeight="1">
      <c r="A1087" s="5" t="inlineStr">
        <is>
          <t>Hn An &lt;aeaxn.22@gmail.com&gt;</t>
        </is>
      </c>
      <c r="B1087" s="6" t="inlineStr">
        <is>
          <t>aeaxn.22@gmail.com</t>
        </is>
      </c>
      <c r="C1087" s="5">
        <f>?utf-8?B?2KfZhNiz2YTYp9mFINmI2KfZhNix2K3ZhdmHINin2YTYsdit2Kc=?=  =?utf-8?B?2KEg2YXYs9itINin2YTYp9iz2KfYptmH?=</f>
        <v/>
      </c>
      <c r="D1087" s="5" t="inlineStr">
        <is>
          <t>﻿ Hello! How can we help you?  Report وزباله و بنت تسال و تشرد : 65691000   ‫أُرسلت من الـ iPhone‬</t>
        </is>
      </c>
      <c r="E1087" s="7" t="inlineStr">
        <is>
          <t>65691000</t>
        </is>
      </c>
    </row>
    <row r="1088" ht="18" customHeight="1">
      <c r="A1088" s="2" t="inlineStr">
        <is>
          <t>Hn An &lt;aeaxn.22@gmail.com&gt;</t>
        </is>
      </c>
      <c r="B1088" s="3" t="inlineStr">
        <is>
          <t>aeaxn.22@gmail.com</t>
        </is>
      </c>
      <c r="C1088" s="2">
        <f>?utf-8?B?2KfZhNiz2YTYp9mFINmI2KfZhNix2K3ZhdmHINin2YTYsdit2Kc=?=  =?utf-8?B?2KEg2YXYs9itINin2YTYp9iz2KfYptmH?=</f>
        <v/>
      </c>
      <c r="D1088" s="2" t="inlineStr">
        <is>
          <t>﻿ Hello! How can we help you?  Report وزباله و بنت تسال و تشرد : 65691000   ‫أُرسلت من الـ iPhone‬</t>
        </is>
      </c>
      <c r="E1088" s="4" t="inlineStr">
        <is>
          <t>65691000</t>
        </is>
      </c>
    </row>
    <row r="1089" ht="18" customHeight="1">
      <c r="A1089" s="5" t="inlineStr">
        <is>
          <t>Hn An &lt;aeaxn.22@gmail.com&gt;</t>
        </is>
      </c>
      <c r="B1089" s="6" t="inlineStr">
        <is>
          <t>aeaxn.22@gmail.com</t>
        </is>
      </c>
      <c r="C1089" s="5">
        <f>?utf-8?B?2KfZhNiz2YTYp9mFINmI2KfZhNix2K3ZhdmHINin2YTYsdit2Kc=?=  =?utf-8?B?2KEg2YXYs9itINin2YTYp9iz2KfYptmH?=</f>
        <v/>
      </c>
      <c r="D1089" s="5" t="inlineStr">
        <is>
          <t>﻿ Hello! How can we help you?  Report وزباله و بنت تسال و تشرد : 65691000   ‫أُرسلت من الـ iPhone‬</t>
        </is>
      </c>
      <c r="E1089" s="7" t="inlineStr">
        <is>
          <t>65691000</t>
        </is>
      </c>
    </row>
    <row r="1090" ht="18" customHeight="1">
      <c r="A1090" s="2" t="inlineStr">
        <is>
          <t>Hn An &lt;aeaxn.22@gmail.com&gt;</t>
        </is>
      </c>
      <c r="B1090" s="3" t="inlineStr">
        <is>
          <t>aeaxn.22@gmail.com</t>
        </is>
      </c>
      <c r="C1090" s="2">
        <f>?utf-8?B?2KfZhNiz2YTYp9mFINmI2KfZhNix2K3ZhdmHINin2YTYsdit2Kc=?=  =?utf-8?B?2KEg2YXYs9itINin2YTYp9iz2KfYptmH?=</f>
        <v/>
      </c>
      <c r="D1090" s="2" t="inlineStr">
        <is>
          <t>﻿ Hello! How can we help you?  Report وزباله و بنت تسال و تشرد : 65691000   ‫أُرسلت من الـ iPhone‬</t>
        </is>
      </c>
      <c r="E1090" s="4" t="inlineStr">
        <is>
          <t>65691000</t>
        </is>
      </c>
    </row>
    <row r="1091" ht="18" customHeight="1">
      <c r="A1091" s="5" t="inlineStr">
        <is>
          <t>ibrahim Rayan &lt;ibrahimrayan21981@gmail.com&gt;</t>
        </is>
      </c>
      <c r="B1091" s="6" t="inlineStr">
        <is>
          <t>ibrahimrayan21981@gmail.com</t>
        </is>
      </c>
      <c r="C1091" s="5">
        <f>?UTF-8?B?2KrYutmK2LEg2KfZhNin2LPZhQ==?=</f>
        <v/>
      </c>
      <c r="D1091" s="5" t="inlineStr">
        <is>
          <t xml:space="preserve">ارجو حذف الاسامي المختلفة </t>
        </is>
      </c>
      <c r="E1091" s="7" t="inlineStr"/>
    </row>
    <row r="1092" ht="18" customHeight="1">
      <c r="A1092" s="2" t="inlineStr">
        <is>
          <t>Ali Alfaraj &lt;ali.alfaraj58@gmail.com&gt;</t>
        </is>
      </c>
      <c r="B1092" s="3" t="inlineStr">
        <is>
          <t>ali.alfaraj58@gmail.com</t>
        </is>
      </c>
      <c r="C1092" s="2">
        <f>?utf-8?B?2KfYstin2YTYqSDYp9iz2YU=?=</f>
        <v/>
      </c>
      <c r="D1092" s="2" t="inlineStr">
        <is>
          <t>Hello! How can we help you?  Report حساب شيطون : 50559147  ‏الرجاء إزالة هذا المسمى لانه ‏ ‏يأتي بكثير من ‏سوء الفهم Sent from my iPhone</t>
        </is>
      </c>
      <c r="E1092" s="4" t="inlineStr">
        <is>
          <t>50559147</t>
        </is>
      </c>
    </row>
    <row r="1093" ht="18" customHeight="1">
      <c r="A1093" s="5" t="inlineStr">
        <is>
          <t>t &lt;daihani87@gmail.com&gt;</t>
        </is>
      </c>
      <c r="B1093" s="6" t="inlineStr">
        <is>
          <t>daihani87@gmail.com</t>
        </is>
      </c>
      <c r="C1093" s="5">
        <f>?UTF-8?B?2KfYs9in2KHYqSAtIDY2NjYyNjcz?=</f>
        <v/>
      </c>
      <c r="D1093" s="5" t="inlineStr">
        <is>
          <t xml:space="preserve">السلام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093" s="7" t="inlineStr">
        <is>
          <t>66662673</t>
        </is>
      </c>
    </row>
    <row r="1094" ht="18" customHeight="1">
      <c r="A1094" s="2" t="inlineStr">
        <is>
          <t>t &lt;daihani87@gmail.com&gt;</t>
        </is>
      </c>
      <c r="B1094" s="3" t="inlineStr">
        <is>
          <t>daihani87@gmail.com</t>
        </is>
      </c>
      <c r="C1094" s="2">
        <f>?UTF-8?B?2KfYs9in2KHYqSAtIDY2NjYyNjcz?=</f>
        <v/>
      </c>
      <c r="D1094" s="2" t="inlineStr">
        <is>
          <t xml:space="preserve">السلامه عليكم  الساده فريق منو داق الكرام  الرجاء حذف اسمي من محركات البحث حيث انني مسجل باسماء غير لائقه وقد قمت بالتواصل معاكم من قبل ولم استقبل اي رد   ارجو من حضراتكم التكرم بحذفه رقم 66662673  تحياتي ثامر الديحاني </t>
        </is>
      </c>
      <c r="E1094" s="4" t="inlineStr">
        <is>
          <t>66662673</t>
        </is>
      </c>
    </row>
    <row r="1095" ht="18" customHeight="1">
      <c r="A1095" s="5" t="inlineStr">
        <is>
          <t>&lt;shekoalx1980@gmail.com&gt;</t>
        </is>
      </c>
      <c r="B1095" s="6" t="inlineStr">
        <is>
          <t>shekoalx1980@gmail.com</t>
        </is>
      </c>
      <c r="C1095" s="5">
        <f>?UTF-8?B?2KjZhNmI2YMg2YTYsdmC2YU=?=</f>
        <v/>
      </c>
      <c r="D1095" s="5" t="inlineStr">
        <is>
          <t xml:space="preserve">احتاج عمل بلوك لرقم 66686615 من تطبيق منو داق </t>
        </is>
      </c>
      <c r="E1095" s="7" t="inlineStr">
        <is>
          <t>66686615</t>
        </is>
      </c>
    </row>
    <row r="1096" ht="18" customHeight="1">
      <c r="A1096" s="2" t="inlineStr">
        <is>
          <t>shekoalx1980 sadek &lt;shekoalx1980@gmail.com&gt;</t>
        </is>
      </c>
      <c r="B1096" s="3" t="inlineStr">
        <is>
          <t>shekoalx1980@gmail.com</t>
        </is>
      </c>
      <c r="C1096" s="2">
        <f>?UTF-8?B?2KfYrdiq2KfYrCDYudmF2YQg2KjZhNmI2YMg2YTYsdmC2YUg2YfYp9iq2YEg2YXZhiDYqg==?= 	=?UTF-8?B?2LfYqNmK2YIg2YXZhtmIINiv2KfZgg==?=</f>
        <v/>
      </c>
      <c r="D1096" s="2" t="inlineStr">
        <is>
          <t> </t>
        </is>
      </c>
      <c r="E1096" s="4" t="inlineStr"/>
    </row>
    <row r="1097" ht="18" customHeight="1">
      <c r="A1097" s="5" t="inlineStr">
        <is>
          <t>Dalal Almazyad &lt;dalmazyad@icloud.com&gt;</t>
        </is>
      </c>
      <c r="B1097" s="6" t="inlineStr">
        <is>
          <t>dalmazyad@icloud.com</t>
        </is>
      </c>
      <c r="C1097" s="5" t="inlineStr">
        <is>
          <t>Hello , kindly delete this because this title does not suit me.. thank you</t>
        </is>
      </c>
      <c r="D1097" s="5" t="inlineStr">
        <is>
          <t>Hello! How can we help you?  Report دلال الشغاله : 50000205   Sent from my iPhone</t>
        </is>
      </c>
      <c r="E1097" s="7" t="inlineStr">
        <is>
          <t>50000205</t>
        </is>
      </c>
    </row>
    <row r="1098" ht="18" customHeight="1">
      <c r="A1098" s="2" t="inlineStr">
        <is>
          <t>Hn An &lt;aeaxn.22@gmail.com&gt;</t>
        </is>
      </c>
      <c r="B1098" s="3" t="inlineStr">
        <is>
          <t>aeaxn.22@gmail.com</t>
        </is>
      </c>
      <c r="C1098" s="2">
        <f>?utf-8?B?2KfZhNiz2YTYp9mFINmI2KfZhNix2K3ZhdmHINin2YTYsdit2Kc=?=  =?utf-8?B?2KEg2YXYs9itINin2YTYp9iz2KfYptmH?=</f>
        <v/>
      </c>
      <c r="D1098" s="2" t="inlineStr">
        <is>
          <t>﻿ Hello! How can we help you?  Report وزباله و بنت تسال و تشرد : 65691000   ‫أُرسلت من الـ iPhone‬</t>
        </is>
      </c>
      <c r="E1098" s="4" t="inlineStr">
        <is>
          <t>65691000</t>
        </is>
      </c>
    </row>
    <row r="1099" ht="18" customHeight="1">
      <c r="A1099" s="5" t="inlineStr">
        <is>
          <t>Hn An &lt;aeaxn.22@gmail.com&gt;</t>
        </is>
      </c>
      <c r="B1099" s="6" t="inlineStr">
        <is>
          <t>aeaxn.22@gmail.com</t>
        </is>
      </c>
      <c r="C1099" s="5">
        <f>?utf-8?B?2KfZhNiz2YTYp9mFINmI2KfZhNix2K3ZhdmHINin2YTYsdit2Kc=?=  =?utf-8?B?2KEg2YXYs9itINin2YTYp9iz2KfYptmH?=</f>
        <v/>
      </c>
      <c r="D1099" s="5" t="inlineStr">
        <is>
          <t>﻿ Hello! How can we help you?  Report وزباله و بنت تسال و تشرد : 65691000   ‫أُرسلت من الـ iPhone‬</t>
        </is>
      </c>
      <c r="E1099" s="7" t="inlineStr">
        <is>
          <t>65691000</t>
        </is>
      </c>
    </row>
    <row r="1100" ht="18" customHeight="1">
      <c r="A1100" s="2" t="inlineStr">
        <is>
          <t>Hn An &lt;aeaxn.22@gmail.com&gt;</t>
        </is>
      </c>
      <c r="B1100" s="3" t="inlineStr">
        <is>
          <t>aeaxn.22@gmail.com</t>
        </is>
      </c>
      <c r="C1100" s="2" t="inlineStr"/>
      <c r="D1100" s="2" t="inlineStr">
        <is>
          <t>Hello! How can we help you?  Report وزباله و بنت تسال و تشرد : 65691000   ‫أُرسلت من الـ iPhone‬</t>
        </is>
      </c>
      <c r="E1100" s="4" t="inlineStr">
        <is>
          <t>65691000</t>
        </is>
      </c>
    </row>
    <row r="1101" ht="18" customHeight="1">
      <c r="A1101" s="5" t="inlineStr">
        <is>
          <t>Hn An &lt;aeaxn.22@gmail.com&gt;</t>
        </is>
      </c>
      <c r="B1101" s="6" t="inlineStr">
        <is>
          <t>aeaxn.22@gmail.com</t>
        </is>
      </c>
      <c r="C1101" s="5">
        <f>?utf-8?B?2KfZhNiz2YTYp9mFINmF2YXZg9mGINmF2LPYrSDYp9mE2KfYs9in?=  =?utf-8?B?2KbZhw==?=</f>
        <v/>
      </c>
      <c r="D1101" s="5" t="inlineStr">
        <is>
          <t>﻿ Hello! How can we help you?  Report وزباله و بنت تسال و تشرد : 65691000   ‫أُرسلت من الـ iPhone‬</t>
        </is>
      </c>
      <c r="E1101" s="7" t="inlineStr">
        <is>
          <t>65691000</t>
        </is>
      </c>
    </row>
    <row r="1102" ht="18" customHeight="1">
      <c r="A1102" s="2" t="inlineStr">
        <is>
          <t>Hn An &lt;aeaxn.22@gmail.com&gt;</t>
        </is>
      </c>
      <c r="B1102" s="3" t="inlineStr">
        <is>
          <t>aeaxn.22@gmail.com</t>
        </is>
      </c>
      <c r="C1102" s="2">
        <f>?utf-8?B?2KfZhNiz2YTYp9mFINmF2YXZg9mGINmF2LPYrSDYp9mE2KfYs9in?=  =?utf-8?B?2KbZhw==?=</f>
        <v/>
      </c>
      <c r="D1102" s="2" t="inlineStr">
        <is>
          <t>﻿ Hello! How can we help you?  Report وزباله و بنت تسال و تشرد : 65691000   ‫أُرسلت من الـ iPhone‬</t>
        </is>
      </c>
      <c r="E1102" s="4" t="inlineStr">
        <is>
          <t>65691000</t>
        </is>
      </c>
    </row>
    <row r="1103" ht="18" customHeight="1">
      <c r="A1103" s="5" t="inlineStr">
        <is>
          <t>Hn An &lt;aeaxn.22@gmail.com&gt;</t>
        </is>
      </c>
      <c r="B1103" s="6" t="inlineStr">
        <is>
          <t>aeaxn.22@gmail.com</t>
        </is>
      </c>
      <c r="C1103" s="5">
        <f>?utf-8?B?2KfZhNiz2YTYp9mFINmF2YXZg9mGINmF2LPYrSDYp9mE2KfYs9in?=  =?utf-8?B?2KbZhw==?=</f>
        <v/>
      </c>
      <c r="D1103" s="5" t="inlineStr">
        <is>
          <t>﻿ Hello! How can we help you?  Report وزباله و بنت تسال و تشرد : 65691000   ‫أُرسلت من الـ iPhone‬</t>
        </is>
      </c>
      <c r="E1103" s="7" t="inlineStr">
        <is>
          <t>65691000</t>
        </is>
      </c>
    </row>
    <row r="1104" ht="18" customHeight="1">
      <c r="A1104" s="2" t="inlineStr">
        <is>
          <t>Hn An &lt;aeaxn.22@gmail.com&gt;</t>
        </is>
      </c>
      <c r="B1104" s="3" t="inlineStr">
        <is>
          <t>aeaxn.22@gmail.com</t>
        </is>
      </c>
      <c r="C1104" s="2">
        <f>?utf-8?B?2KfZhNiz2YTYp9mFINmF2YXZg9mGINmF2LPYrSDYp9mE2KfYs9in?=  =?utf-8?B?2KbZhw==?=</f>
        <v/>
      </c>
      <c r="D1104" s="2" t="inlineStr">
        <is>
          <t>﻿ Hello! How can we help you?  Report وزباله و بنت تسال و تشرد : 65691000   ‫أُرسلت من الـ iPhone‬</t>
        </is>
      </c>
      <c r="E1104" s="4" t="inlineStr">
        <is>
          <t>65691000</t>
        </is>
      </c>
    </row>
    <row r="1105" ht="18" customHeight="1">
      <c r="A1105" s="5" t="inlineStr">
        <is>
          <t>Hn An &lt;aeaxn.22@gmail.com&gt;</t>
        </is>
      </c>
      <c r="B1105" s="6" t="inlineStr">
        <is>
          <t>aeaxn.22@gmail.com</t>
        </is>
      </c>
      <c r="C1105" s="5">
        <f>?utf-8?B?2KfZhNiz2YTYp9mFINmF2YXZg9mGINmF2LPYrSDYp9mE2KfYs9in?=  =?utf-8?B?2KbZhw==?=</f>
        <v/>
      </c>
      <c r="D1105" s="5" t="inlineStr">
        <is>
          <t>﻿ Hello! How can we help you?  Report وزباله و بنت تسال و تشرد : 65691000   ‫أُرسلت من الـ iPhone‬</t>
        </is>
      </c>
      <c r="E1105" s="7" t="inlineStr">
        <is>
          <t>65691000</t>
        </is>
      </c>
    </row>
    <row r="1106" ht="18" customHeight="1">
      <c r="A1106" s="2" t="inlineStr">
        <is>
          <t>Hn An &lt;aeaxn.22@gmail.com&gt;</t>
        </is>
      </c>
      <c r="B1106" s="3" t="inlineStr">
        <is>
          <t>aeaxn.22@gmail.com</t>
        </is>
      </c>
      <c r="C1106" s="2">
        <f>?utf-8?B?2KfZhNiz2YTYp9mFINmF2YXZg9mGINmF2LPYrSDYp9mE2KfYs9in?=  =?utf-8?B?2KbZhw==?=</f>
        <v/>
      </c>
      <c r="D1106" s="2" t="inlineStr">
        <is>
          <t>﻿ Hello! How can we help you?  Report وزباله و بنت تسال و تشرد : 65691000   ‫أُرسلت من الـ iPhone‬</t>
        </is>
      </c>
      <c r="E1106" s="4" t="inlineStr">
        <is>
          <t>65691000</t>
        </is>
      </c>
    </row>
    <row r="1107" ht="18" customHeight="1">
      <c r="A1107" s="5" t="inlineStr">
        <is>
          <t>Hn An &lt;aeaxn.22@gmail.com&gt;</t>
        </is>
      </c>
      <c r="B1107" s="6" t="inlineStr">
        <is>
          <t>aeaxn.22@gmail.com</t>
        </is>
      </c>
      <c r="C1107" s="5">
        <f>?utf-8?B?2KfZhNiz2YTYp9mFINmF2YXZg9mGINmF2LPYrSDYp9mE2KfYs9in?=  =?utf-8?B?2KbZhw==?=</f>
        <v/>
      </c>
      <c r="D1107" s="5" t="inlineStr">
        <is>
          <t>﻿ Hello! How can we help you?  Report وزباله و بنت تسال و تشرد : 65691000   ‫أُرسلت من الـ iPhone‬</t>
        </is>
      </c>
      <c r="E1107" s="7" t="inlineStr">
        <is>
          <t>65691000</t>
        </is>
      </c>
    </row>
    <row r="1108" ht="18" customHeight="1">
      <c r="A1108" s="2" t="inlineStr">
        <is>
          <t>Hn An &lt;aeaxn.22@gmail.com&gt;</t>
        </is>
      </c>
      <c r="B1108" s="3" t="inlineStr">
        <is>
          <t>aeaxn.22@gmail.com</t>
        </is>
      </c>
      <c r="C1108" s="2">
        <f>?utf-8?B?2KfZhNiz2YTYp9mFINmF2YXZg9mGINmF2LPYrSDYp9mE2KfYs9in?=  =?utf-8?B?2KbZhw==?=</f>
        <v/>
      </c>
      <c r="D1108" s="2" t="inlineStr">
        <is>
          <t>﻿ Hello! How can we help you?  Report وزباله و بنت تسال و تشرد : 65691000   ‫أُرسلت من الـ iPhone‬</t>
        </is>
      </c>
      <c r="E1108" s="4" t="inlineStr">
        <is>
          <t>65691000</t>
        </is>
      </c>
    </row>
    <row r="1109" ht="18" customHeight="1">
      <c r="A1109" s="5" t="inlineStr">
        <is>
          <t>Hn An &lt;aeaxn.22@gmail.com&gt;</t>
        </is>
      </c>
      <c r="B1109" s="6" t="inlineStr">
        <is>
          <t>aeaxn.22@gmail.com</t>
        </is>
      </c>
      <c r="C1109" s="5">
        <f>?utf-8?B?2KfZhNiz2YTYp9mFINmF2YXZg9mGINmF2LPYrSDYp9mE2KfYs9in?=  =?utf-8?B?2KbZhw==?=</f>
        <v/>
      </c>
      <c r="D1109" s="5" t="inlineStr">
        <is>
          <t>﻿ Hello! How can we help you?  Report وزباله و بنت تسال و تشرد : 65691000   ‫أُرسلت من الـ iPhone‬</t>
        </is>
      </c>
      <c r="E1109" s="7" t="inlineStr">
        <is>
          <t>65691000</t>
        </is>
      </c>
    </row>
    <row r="1110" ht="18" customHeight="1">
      <c r="A1110" s="2" t="inlineStr">
        <is>
          <t>Hn An &lt;aeaxn.22@gmail.com&gt;</t>
        </is>
      </c>
      <c r="B1110" s="3" t="inlineStr">
        <is>
          <t>aeaxn.22@gmail.com</t>
        </is>
      </c>
      <c r="C1110" s="2">
        <f>?utf-8?B?2KfZhNiz2YTYp9mFINmF2YXZg9mGINmF2LPYrSDYp9mE2KfYs9in?=  =?utf-8?B?2KbZhw==?=</f>
        <v/>
      </c>
      <c r="D1110" s="2" t="inlineStr">
        <is>
          <t>﻿ Hello! How can we help you?  Report وزباله و بنت تسال و تشرد : 65691000   ‫أُرسلت من الـ iPhone‬</t>
        </is>
      </c>
      <c r="E1110" s="4" t="inlineStr">
        <is>
          <t>65691000</t>
        </is>
      </c>
    </row>
    <row r="1111" ht="18" customHeight="1">
      <c r="A1111" s="5" t="inlineStr">
        <is>
          <t>Hn An &lt;aeaxn.22@gmail.com&gt;</t>
        </is>
      </c>
      <c r="B1111" s="6" t="inlineStr">
        <is>
          <t>aeaxn.22@gmail.com</t>
        </is>
      </c>
      <c r="C1111" s="5">
        <f>?utf-8?B?2KfZhNiz2YTYp9mFINmF2YXZg9mGINmF2LPYrSDYp9mE2KfYs9in?=  =?utf-8?B?2KbZhw==?=</f>
        <v/>
      </c>
      <c r="D1111" s="5" t="inlineStr">
        <is>
          <t>﻿ Hello! How can we help you?  Report وزباله و بنت تسال و تشرد : 65691000   ‫أُرسلت من الـ iPhone‬</t>
        </is>
      </c>
      <c r="E1111" s="7" t="inlineStr">
        <is>
          <t>65691000</t>
        </is>
      </c>
    </row>
    <row r="1112" ht="18" customHeight="1">
      <c r="A1112" s="2" t="inlineStr">
        <is>
          <t>Hn An &lt;aeaxn.22@gmail.com&gt;</t>
        </is>
      </c>
      <c r="B1112" s="3" t="inlineStr">
        <is>
          <t>aeaxn.22@gmail.com</t>
        </is>
      </c>
      <c r="C1112" s="2">
        <f>?utf-8?B?2KfZhNiz2YTYp9mFINmF2YXZg9mGINmF2LPYrSDYp9mE2KfYs9in?=  =?utf-8?B?2KbZhw==?=</f>
        <v/>
      </c>
      <c r="D1112" s="2" t="inlineStr">
        <is>
          <t>﻿ Hello! How can we help you?  Report وزباله و بنت تسال و تشرد : 65691000   ‫أُرسلت من الـ iPhone‬</t>
        </is>
      </c>
      <c r="E1112" s="4" t="inlineStr">
        <is>
          <t>65691000</t>
        </is>
      </c>
    </row>
    <row r="1113" ht="18" customHeight="1">
      <c r="A1113" s="5" t="inlineStr">
        <is>
          <t>Hn An &lt;aeaxn.22@gmail.com&gt;</t>
        </is>
      </c>
      <c r="B1113" s="6" t="inlineStr">
        <is>
          <t>aeaxn.22@gmail.com</t>
        </is>
      </c>
      <c r="C1113" s="5">
        <f>?utf-8?B?2KfZhNiz2YTYp9mFINmF2YXZg9mGINmF2LPYrSDYp9mE2KfYs9in?=  =?utf-8?B?2KbZhw==?=</f>
        <v/>
      </c>
      <c r="D1113" s="5" t="inlineStr">
        <is>
          <t>﻿ Hello! How can we help you?  Report وزباله و بنت تسال و تشرد : 65691000   ‫أُرسلت من الـ iPhone‬</t>
        </is>
      </c>
      <c r="E1113" s="7" t="inlineStr">
        <is>
          <t>65691000</t>
        </is>
      </c>
    </row>
    <row r="1114" ht="18" customHeight="1">
      <c r="A1114" s="2" t="inlineStr">
        <is>
          <t>Hn An &lt;aeaxn.22@gmail.com&gt;</t>
        </is>
      </c>
      <c r="B1114" s="3" t="inlineStr">
        <is>
          <t>aeaxn.22@gmail.com</t>
        </is>
      </c>
      <c r="C1114" s="2">
        <f>?utf-8?B?2KfZhNiz2YTYp9mFINmF2YXZg9mGINmF2LPYrSDYp9mE2KfYs9in?=  =?utf-8?B?2KbZhw==?=</f>
        <v/>
      </c>
      <c r="D1114" s="2" t="inlineStr">
        <is>
          <t>﻿ Hello! How can we help you?  Report وزباله و بنت تسال و تشرد : 65691000   ‫أُرسلت من الـ iPhone‬</t>
        </is>
      </c>
      <c r="E1114" s="4" t="inlineStr">
        <is>
          <t>65691000</t>
        </is>
      </c>
    </row>
    <row r="1115" ht="18" customHeight="1">
      <c r="A1115" s="5" t="inlineStr">
        <is>
          <t>Hn An &lt;aeaxn.22@gmail.com&gt;</t>
        </is>
      </c>
      <c r="B1115" s="6" t="inlineStr">
        <is>
          <t>aeaxn.22@gmail.com</t>
        </is>
      </c>
      <c r="C1115" s="5">
        <f>?utf-8?B?2KfZhNiz2YTYp9mFINmF2YXZg9mGINmF2LPYrSDYp9mE2KfYs9in?=  =?utf-8?B?2KbZhw==?=</f>
        <v/>
      </c>
      <c r="D1115" s="5" t="inlineStr">
        <is>
          <t>﻿ Hello! How can we help you?  Report وزباله و بنت تسال و تشرد : 65691000   ‫أُرسلت من الـ iPhone‬</t>
        </is>
      </c>
      <c r="E1115" s="7" t="inlineStr">
        <is>
          <t>65691000</t>
        </is>
      </c>
    </row>
    <row r="1116" ht="18" customHeight="1">
      <c r="A1116" s="2" t="inlineStr">
        <is>
          <t>Hn An &lt;aeaxn.22@gmail.com&gt;</t>
        </is>
      </c>
      <c r="B1116" s="3" t="inlineStr">
        <is>
          <t>aeaxn.22@gmail.com</t>
        </is>
      </c>
      <c r="C1116" s="2">
        <f>?utf-8?B?2KfZhNiz2YTYp9mFINmF2YXZg9mGINmF2LPYrSDYp9mE2KfYs9in?=  =?utf-8?B?2KbZhw==?=</f>
        <v/>
      </c>
      <c r="D1116" s="2" t="inlineStr">
        <is>
          <t>﻿ Hello! How can we help you?  Report وزباله و بنت تسال و تشرد : 65691000   ‫أُرسلت من الـ iPhone‬</t>
        </is>
      </c>
      <c r="E1116" s="4" t="inlineStr">
        <is>
          <t>65691000</t>
        </is>
      </c>
    </row>
    <row r="1117" ht="18" customHeight="1">
      <c r="A1117" s="5" t="inlineStr">
        <is>
          <t>Hn An &lt;aeaxn.22@gmail.com&gt;</t>
        </is>
      </c>
      <c r="B1117" s="6" t="inlineStr">
        <is>
          <t>aeaxn.22@gmail.com</t>
        </is>
      </c>
      <c r="C1117" s="5">
        <f>?utf-8?B?2KfZhNiz2YTYp9mFINmF2YXZg9mGINmF2LPYrSDYp9mE2KfYs9in?=  =?utf-8?B?2KbZhw==?=</f>
        <v/>
      </c>
      <c r="D1117" s="5" t="inlineStr">
        <is>
          <t>Hello! How can we help you?  Report وزباله و بنت تسال و تشرد : 65691000   ‫أُرسلت من الـ iPhone‬</t>
        </is>
      </c>
      <c r="E1117" s="7" t="inlineStr">
        <is>
          <t>65691000</t>
        </is>
      </c>
    </row>
    <row r="1118" ht="18" customHeight="1">
      <c r="A1118" s="2" t="inlineStr">
        <is>
          <t>azeezalb22@icloud.com</t>
        </is>
      </c>
      <c r="B1118" s="3" t="inlineStr">
        <is>
          <t>azeezalb22@icloud.com</t>
        </is>
      </c>
      <c r="C1118" s="2" t="inlineStr"/>
      <c r="D1118" s="2" t="inlineStr">
        <is>
          <t>Hello! How can we help you?  Report John Cena : 96655154   Sent from my iPhone</t>
        </is>
      </c>
      <c r="E1118" s="4" t="inlineStr">
        <is>
          <t>96655154</t>
        </is>
      </c>
    </row>
    <row r="1119" ht="18" customHeight="1">
      <c r="A1119" s="5" t="inlineStr">
        <is>
          <t>Nona Alenzi &lt;nonaalenzi0@gmail.com&gt;</t>
        </is>
      </c>
      <c r="B1119" s="6" t="inlineStr">
        <is>
          <t>nonaalenzi0@gmail.com</t>
        </is>
      </c>
      <c r="C1119" s="5" t="inlineStr">
        <is>
          <t xml:space="preserve">not appropriate </t>
        </is>
      </c>
      <c r="D1119" s="5" t="inlineStr">
        <is>
          <t>Hello! How can we help you?  Report غزل نور اللي ماتستحي صوتها عالي تلبس نظاره ه : 94405057   Sent from my iPhone</t>
        </is>
      </c>
      <c r="E1119" s="7" t="inlineStr">
        <is>
          <t>94405057</t>
        </is>
      </c>
    </row>
    <row r="1120" ht="18" customHeight="1">
      <c r="A1120" s="2" t="inlineStr">
        <is>
          <t>Nona Alenzi &lt;nonaalenzi0@gmail.com&gt;</t>
        </is>
      </c>
      <c r="B1120" s="3" t="inlineStr">
        <is>
          <t>nonaalenzi0@gmail.com</t>
        </is>
      </c>
      <c r="C1120" s="2" t="inlineStr">
        <is>
          <t xml:space="preserve">not good name </t>
        </is>
      </c>
      <c r="D1120" s="2" t="inlineStr">
        <is>
          <t>Hello! How can we help you?  Report غزل نور اللي ماتستحي صوتها عالي تلبس نظاره ه : 94405057   Sent from my iPhone</t>
        </is>
      </c>
      <c r="E1120" s="4" t="inlineStr">
        <is>
          <t>94405057</t>
        </is>
      </c>
    </row>
    <row r="1121" ht="18" customHeight="1">
      <c r="A1121" s="5" t="inlineStr">
        <is>
          <t>Nona Alenzi &lt;nonaalenzi0@gmail.com&gt;</t>
        </is>
      </c>
      <c r="B1121" s="6" t="inlineStr">
        <is>
          <t>nonaalenzi0@gmail.com</t>
        </is>
      </c>
      <c r="C1121" s="5" t="inlineStr"/>
      <c r="D1121" s="5" t="inlineStr">
        <is>
          <t>Hello! How can we help you?  Report غزل نور اللي ماتستحي صوتها عالي تلبس نظاره ه : 94405057   Sent from my iPhone</t>
        </is>
      </c>
      <c r="E1121" s="7" t="inlineStr">
        <is>
          <t>94405057</t>
        </is>
      </c>
    </row>
    <row r="1122" ht="18" customHeight="1">
      <c r="A1122" s="2" t="inlineStr">
        <is>
          <t>Salem Nawaf &lt;salemnawaf@icloud.com&gt;</t>
        </is>
      </c>
      <c r="B1122" s="3" t="inlineStr">
        <is>
          <t>salemnawaf@icloud.com</t>
        </is>
      </c>
      <c r="C1122" s="2">
        <f>?utf-8?B?2YfYsNinINin2YTYp9iz2YUg2YrYq9mK2LEg2YjYutmK2LEg2LU=?=  =?utf-8?B?2K3ZititINmI2YrZiNis2K8g2YHZiiDYp9mE2LPYqCDZiNin2YQ=?=  =?utf-8?B?2YLYsNmB?=</f>
        <v/>
      </c>
      <c r="D1122" s="2" t="inlineStr">
        <is>
          <t>Hello! How can we help you?  Report Soso : 51554706   ‫أُرسلت من الـ iPhone‬</t>
        </is>
      </c>
      <c r="E1122" s="4" t="inlineStr">
        <is>
          <t>51554706</t>
        </is>
      </c>
    </row>
    <row r="1123" ht="18" customHeight="1">
      <c r="A1123" s="5" t="inlineStr">
        <is>
          <t>Hn An &lt;aeaxn.22@gmail.com&gt;</t>
        </is>
      </c>
      <c r="B1123" s="6" t="inlineStr">
        <is>
          <t>aeaxn.22@gmail.com</t>
        </is>
      </c>
      <c r="C1123" s="5">
        <f>?utf-8?B?2KfZhNiz2YTYp9mFINmF2YXZg9mGINmF2LPYrSDYp9mE2KfYs9in?=  =?utf-8?B?2KbZhw==?=</f>
        <v/>
      </c>
      <c r="D1123" s="5" t="inlineStr">
        <is>
          <t>Hello! How can we help you?  Report وزباله و بنت تسال و تشرد : 65691000   ‫أُرسلت من الـ iPhone‬</t>
        </is>
      </c>
      <c r="E1123" s="7" t="inlineStr">
        <is>
          <t>65691000</t>
        </is>
      </c>
    </row>
    <row r="1124" ht="18" customHeight="1">
      <c r="A1124" s="2" t="inlineStr">
        <is>
          <t>Hn An &lt;aeaxn.22@gmail.com&gt;</t>
        </is>
      </c>
      <c r="B1124" s="3" t="inlineStr">
        <is>
          <t>aeaxn.22@gmail.com</t>
        </is>
      </c>
      <c r="C1124" s="2">
        <f>?utf-8?B?2KfZhNiz2YTYp9mFINmI2KfZhNix2K3ZhdmHINmF2YXZg9mGINmF?=  =?utf-8?B?2LPYrSDYp9mE2KfYs9in2KbZhyDYudmE2Ykg2KfZhNix2YLZhSA2?=  =?utf-8?B?NTY5MTAwMCDZhtmI2Lkg2KfZhNin2LPYp9im2Ycg2KjZhtiqINiy?=  =?utf-8?B?2KjYp9mE2Ycg2KrYs9im2YQg2YjYqti02LHYrw==?=</f>
        <v/>
      </c>
      <c r="D1124" s="2" t="inlineStr">
        <is>
          <t>﻿  ‫أُرسلت من الـ iPhone‬</t>
        </is>
      </c>
      <c r="E1124" s="4" t="inlineStr"/>
    </row>
    <row r="1125" ht="18" customHeight="1">
      <c r="A1125" s="5" t="inlineStr">
        <is>
          <t>Hn An &lt;aeaxn.22@gmail.com&gt;</t>
        </is>
      </c>
      <c r="B1125" s="6" t="inlineStr">
        <is>
          <t>aeaxn.22@gmail.com</t>
        </is>
      </c>
      <c r="C1125" s="5">
        <f>?utf-8?B?2KfZhNiz2YTYp9mFINmI2KfZhNix2K3ZhdmHINmF2YXZg9mGINmF?=  =?utf-8?B?2LPYrSDYp9mE2KfYs9in2KbZhyDYudmE2Ykg2KfZhNix2YLZhSA2?=  =?utf-8?B?NTY5MTAwMCDZhtmI2Lkg2KfZhNin2LPYp9im2Ycg2KjZhtiqINiy?=  =?utf-8?B?2KjYp9mE2Ycg2KrYs9im2YQg2YjYqti02LHYrw==?=</f>
        <v/>
      </c>
      <c r="D1125" s="5" t="inlineStr">
        <is>
          <t>﻿  ‫أُرسلت من الـ iPhone‬</t>
        </is>
      </c>
      <c r="E1125" s="7" t="inlineStr"/>
    </row>
    <row r="1126" ht="18" customHeight="1">
      <c r="A1126" s="2" t="inlineStr">
        <is>
          <t>Hn An &lt;aeaxn.22@gmail.com&gt;</t>
        </is>
      </c>
      <c r="B1126" s="3" t="inlineStr">
        <is>
          <t>aeaxn.22@gmail.com</t>
        </is>
      </c>
      <c r="C1126" s="2">
        <f>?utf-8?B?2KfZhNiz2YTYp9mFINmI2KfZhNix2K3ZhdmHINmF2YXZg9mGINmF?=  =?utf-8?B?2LPYrSDYp9mE2KfYs9in2KbZhyDYudmE2Ykg2KfZhNix2YLZhSA2?=  =?utf-8?B?NTY5MTAwMCDZhtmI2Lkg2KfZhNin2LPYp9im2Ycg2KjZhtiqINiy?=  =?utf-8?B?2KjYp9mE2Ycg2KrYs9im2YQg2YjYqti02LHYrw==?=</f>
        <v/>
      </c>
      <c r="D1126" s="2" t="inlineStr">
        <is>
          <t>﻿  ‫أُرسلت من الـ iPhone‬</t>
        </is>
      </c>
      <c r="E1126" s="4" t="inlineStr"/>
    </row>
    <row r="1127" ht="18" customHeight="1">
      <c r="A1127" s="5" t="inlineStr">
        <is>
          <t>Hn An &lt;aeaxn.22@gmail.com&gt;</t>
        </is>
      </c>
      <c r="B1127" s="6" t="inlineStr">
        <is>
          <t>aeaxn.22@gmail.com</t>
        </is>
      </c>
      <c r="C1127" s="5">
        <f>?utf-8?B?2KfZhNiz2YTYp9mFINmI2KfZhNix2K3ZhdmHINmF2YXZg9mGINmF?=  =?utf-8?B?2LPYrSDYp9mE2KfYs9in2KbZhyDYudmE2Ykg2KfZhNix2YLZhSA2?=  =?utf-8?B?NTY5MTAwMCDZhtmI2Lkg2KfZhNin2LPYp9im2Ycg2KjZhtiqINiy?=  =?utf-8?B?2KjYp9mE2Ycg2KrYs9im2YQg2YjYqti02LHYrw==?=</f>
        <v/>
      </c>
      <c r="D1127" s="5" t="inlineStr">
        <is>
          <t>﻿  ‫أُرسلت من الـ iPhone‬</t>
        </is>
      </c>
      <c r="E1127" s="7" t="inlineStr"/>
    </row>
    <row r="1128" ht="18" customHeight="1">
      <c r="A1128" s="2" t="inlineStr">
        <is>
          <t>Hn An &lt;aeaxn.22@gmail.com&gt;</t>
        </is>
      </c>
      <c r="B1128" s="3" t="inlineStr">
        <is>
          <t>aeaxn.22@gmail.com</t>
        </is>
      </c>
      <c r="C1128" s="2">
        <f>?utf-8?B?2KfZhNiz2YTYp9mFINmI2KfZhNix2K3ZhdmHINmF2YXZg9mGINmF?=  =?utf-8?B?2LPYrSDYp9mE2KfYs9in2KbZhyDYudmE2Ykg2KfZhNix2YLZhSA2?=  =?utf-8?B?NTY5MTAwMCDZhtmI2Lkg2KfZhNin2LPYp9im2Ycg2KjZhtiqINiy?=  =?utf-8?B?2KjYp9mE2Ycg2KrYs9im2YQg2YjYqti02LHYrw==?=</f>
        <v/>
      </c>
      <c r="D1128" s="2" t="inlineStr">
        <is>
          <t>﻿  ‫أُرسلت من الـ iPhone‬</t>
        </is>
      </c>
      <c r="E1128" s="4" t="inlineStr"/>
    </row>
    <row r="1129" ht="18" customHeight="1">
      <c r="A1129" s="5" t="inlineStr">
        <is>
          <t>Hn An &lt;aeaxn.22@gmail.com&gt;</t>
        </is>
      </c>
      <c r="B1129" s="6" t="inlineStr">
        <is>
          <t>aeaxn.22@gmail.com</t>
        </is>
      </c>
      <c r="C1129" s="5">
        <f>?utf-8?B?2KfZhNiz2YTYp9mFINmI2KfZhNix2K3ZhdmHINmF2YXZg9mGINmF?=  =?utf-8?B?2LPYrSDYp9mE2KfYs9in2KbZhyDYudmE2Ykg2KfZhNix2YLZhSA2?=  =?utf-8?B?NTY5MTAwMCDZhtmI2Lkg2KfZhNin2LPYp9im2Ycg2KjZhtiqINiy?=  =?utf-8?B?2KjYp9mE2Ycg2KrYs9im2YQg2YjYqti02LHYrw==?=</f>
        <v/>
      </c>
      <c r="D1129" s="5" t="inlineStr">
        <is>
          <t>﻿  ‫أُرسلت من الـ iPhone‬</t>
        </is>
      </c>
      <c r="E1129" s="7" t="inlineStr"/>
    </row>
    <row r="1130" ht="18" customHeight="1">
      <c r="A1130" s="2" t="inlineStr">
        <is>
          <t>Hn An &lt;aeaxn.22@gmail.com&gt;</t>
        </is>
      </c>
      <c r="B1130" s="3" t="inlineStr">
        <is>
          <t>aeaxn.22@gmail.com</t>
        </is>
      </c>
      <c r="C1130" s="2">
        <f>?utf-8?B?2KfZhNiz2YTYp9mFINmI2KfZhNix2K3ZhdmHINmF2YXZg9mGINmF?=  =?utf-8?B?2LPYrSDYp9mE2KfYs9in2KbZhyDYudmE2Ykg2KfZhNix2YLZhSA2?=  =?utf-8?B?NTY5MTAwMCDZhtmI2Lkg2KfZhNin2LPYp9im2Ycg2KjZhtiqINiy?=  =?utf-8?B?2KjYp9mE2Ycg2KrYs9im2YQg2YjYqti02LHYrw==?=</f>
        <v/>
      </c>
      <c r="D1130" s="2" t="inlineStr">
        <is>
          <t>﻿  ‫أُرسلت من الـ iPhone‬</t>
        </is>
      </c>
      <c r="E1130" s="4" t="inlineStr"/>
    </row>
    <row r="1131" ht="18" customHeight="1">
      <c r="A1131" s="5" t="inlineStr">
        <is>
          <t>Hn An &lt;aeaxn.22@gmail.com&gt;</t>
        </is>
      </c>
      <c r="B1131" s="6" t="inlineStr">
        <is>
          <t>aeaxn.22@gmail.com</t>
        </is>
      </c>
      <c r="C1131" s="5">
        <f>?utf-8?B?2KfZhNiz2YTYp9mFINmI2KfZhNix2K3ZhdmHINmF2YXZg9mGINmF?=  =?utf-8?B?2LPYrSDYp9mE2KfYs9in2KbZhyDYudmE2Ykg2KfZhNix2YLZhSA2?=  =?utf-8?B?NTY5MTAwMCDZhtmI2Lkg2KfZhNin2LPYp9im2Ycg2KjZhtiqINiy?=  =?utf-8?B?2KjYp9mE2Ycg2KrYs9im2YQg2YjYqti02LHYrw==?=</f>
        <v/>
      </c>
      <c r="D1131" s="5" t="inlineStr">
        <is>
          <t>﻿  ‫أُرسلت من الـ iPhone‬</t>
        </is>
      </c>
      <c r="E1131" s="7" t="inlineStr"/>
    </row>
    <row r="1132" ht="18" customHeight="1">
      <c r="A1132" s="2" t="inlineStr">
        <is>
          <t>Hn An &lt;aeaxn.22@gmail.com&gt;</t>
        </is>
      </c>
      <c r="B1132" s="3" t="inlineStr">
        <is>
          <t>aeaxn.22@gmail.com</t>
        </is>
      </c>
      <c r="C1132" s="2">
        <f>?utf-8?B?2KfZhNiz2YTYp9mFINmI2KfZhNix2K3ZhdmHINmF2YXZg9mGINmF?=  =?utf-8?B?2LPYrSDYp9mE2KfYs9in2KbZhyDYudmE2Ykg2KfZhNix2YLZhSA2?=  =?utf-8?B?NTY5MTAwMCDZhtmI2Lkg2KfZhNin2LPYp9im2Ycg2KjZhtiqINiy?=  =?utf-8?B?2KjYp9mE2Ycg2KrYs9im2YQg2YjYqti02LHYrw==?=</f>
        <v/>
      </c>
      <c r="D1132" s="2" t="inlineStr">
        <is>
          <t>﻿  ‫أُرسلت من الـ iPhone‬</t>
        </is>
      </c>
      <c r="E1132" s="4" t="inlineStr"/>
    </row>
    <row r="1133" ht="18" customHeight="1">
      <c r="A1133" s="5" t="inlineStr">
        <is>
          <t>Hn An &lt;aeaxn.22@gmail.com&gt;</t>
        </is>
      </c>
      <c r="B1133" s="6" t="inlineStr">
        <is>
          <t>aeaxn.22@gmail.com</t>
        </is>
      </c>
      <c r="C1133" s="5">
        <f>?utf-8?B?2KfZhNiz2YTYp9mFINmI2KfZhNix2K3ZhdmHINmF2YXZg9mGINmF?=  =?utf-8?B?2LPYrSDYp9mE2KfYs9in2KbZhyDYudmE2Ykg2KfZhNix2YLZhSA2?=  =?utf-8?B?NTY5MTAwMCDZhtmI2Lkg2KfZhNin2LPYp9im2Ycg2KjZhtiqINiy?=  =?utf-8?B?2KjYp9mE2Ycg2KrYs9im2YQg2YjYqti02LHYrw==?=</f>
        <v/>
      </c>
      <c r="D1133" s="5" t="inlineStr">
        <is>
          <t>﻿  ‫أُرسلت من الـ iPhone‬</t>
        </is>
      </c>
      <c r="E1133" s="7" t="inlineStr"/>
    </row>
    <row r="1134" ht="18" customHeight="1">
      <c r="A1134" s="2" t="inlineStr">
        <is>
          <t>Hn An &lt;aeaxn.22@gmail.com&gt;</t>
        </is>
      </c>
      <c r="B1134" s="3" t="inlineStr">
        <is>
          <t>aeaxn.22@gmail.com</t>
        </is>
      </c>
      <c r="C1134" s="2">
        <f>?utf-8?B?2KfZhNiz2YTYp9mFINmI2KfZhNix2K3ZhdmHINmF2YXZg9mGINmF?=  =?utf-8?B?2LPYrSDYp9mE2KfYs9in2KbZhyDYudmE2Ykg2KfZhNix2YLZhSA2?=  =?utf-8?B?NTY5MTAwMCDZhtmI2Lkg2KfZhNin2LPYp9im2Ycg2KjZhtiqINiy?=  =?utf-8?B?2KjYp9mE2Ycg2KrYs9im2YQg2YjYqti02LHYrw==?=</f>
        <v/>
      </c>
      <c r="D1134" s="2" t="inlineStr">
        <is>
          <t xml:space="preserve"> ‫أُرسلت من الـ iPhone‬</t>
        </is>
      </c>
      <c r="E1134" s="4" t="inlineStr"/>
    </row>
    <row r="1135" ht="18" customHeight="1">
      <c r="A1135" s="5" t="inlineStr">
        <is>
          <t>Hn An &lt;aeaxn.22@gmail.com&gt;</t>
        </is>
      </c>
      <c r="B1135" s="6" t="inlineStr">
        <is>
          <t>aeaxn.22@gmail.com</t>
        </is>
      </c>
      <c r="C1135" s="5">
        <f>?utf-8?B?2KfZhNix2KzYp9ihINmF2LPYrSDYp9mE2KfYs9in2KbZhw==?=</f>
        <v/>
      </c>
      <c r="D1135" s="5" t="inlineStr">
        <is>
          <t>﻿ ﻿ ﻿ Hello! How can we help you?  Report وزباله و بنت تسال و تشرد : 65691000   ‫أُرسلت من الـ iPhone‬</t>
        </is>
      </c>
      <c r="E1135" s="7" t="inlineStr">
        <is>
          <t>65691000</t>
        </is>
      </c>
    </row>
    <row r="1136" ht="18" customHeight="1">
      <c r="A1136" s="2" t="inlineStr">
        <is>
          <t>Hn An &lt;aeaxn.22@gmail.com&gt;</t>
        </is>
      </c>
      <c r="B1136" s="3" t="inlineStr">
        <is>
          <t>aeaxn.22@gmail.com</t>
        </is>
      </c>
      <c r="C1136" s="2">
        <f>?utf-8?B?2KfZhNix2KzYp9ihINmF2LPYrSDYp9mE2KfYs9in2KbZhw==?=</f>
        <v/>
      </c>
      <c r="D1136" s="2" t="inlineStr">
        <is>
          <t>﻿ ﻿ ﻿ Hello! How can we help you?  Report وزباله و بنت تسال و تشرد : 65691000   ‫أُرسلت من الـ iPhone‬</t>
        </is>
      </c>
      <c r="E1136" s="4" t="inlineStr">
        <is>
          <t>65691000</t>
        </is>
      </c>
    </row>
    <row r="1137" ht="18" customHeight="1">
      <c r="A1137" s="5" t="inlineStr">
        <is>
          <t>Hn An &lt;aeaxn.22@gmail.com&gt;</t>
        </is>
      </c>
      <c r="B1137" s="6" t="inlineStr">
        <is>
          <t>aeaxn.22@gmail.com</t>
        </is>
      </c>
      <c r="C1137" s="5">
        <f>?utf-8?B?2KfZhNix2KzYp9ihINmF2LPYrSDYp9mE2KfYs9in2KbZhw==?=</f>
        <v/>
      </c>
      <c r="D1137" s="5" t="inlineStr">
        <is>
          <t>﻿ ﻿ ﻿ Hello! How can we help you?  Report وزباله و بنت تسال و تشرد : 65691000   ‫أُرسلت من الـ iPhone‬</t>
        </is>
      </c>
      <c r="E1137" s="7" t="inlineStr">
        <is>
          <t>65691000</t>
        </is>
      </c>
    </row>
    <row r="1138" ht="18" customHeight="1">
      <c r="A1138" s="2" t="inlineStr">
        <is>
          <t>Hn An &lt;aeaxn.22@gmail.com&gt;</t>
        </is>
      </c>
      <c r="B1138" s="3" t="inlineStr">
        <is>
          <t>aeaxn.22@gmail.com</t>
        </is>
      </c>
      <c r="C1138" s="2">
        <f>?utf-8?B?2KfZhNix2KzYp9ihINmF2LPYrSDYp9mE2KfYs9in2KbZhw==?=</f>
        <v/>
      </c>
      <c r="D1138" s="2" t="inlineStr">
        <is>
          <t>﻿ ﻿ ﻿ Hello! How can we help you?  Report وزباله و بنت تسال و تشرد : 65691000   ‫أُرسلت من الـ iPhone‬</t>
        </is>
      </c>
      <c r="E1138" s="4" t="inlineStr">
        <is>
          <t>65691000</t>
        </is>
      </c>
    </row>
    <row r="1139" ht="18" customHeight="1">
      <c r="A1139" s="5" t="inlineStr">
        <is>
          <t>Hn An &lt;aeaxn.22@gmail.com&gt;</t>
        </is>
      </c>
      <c r="B1139" s="6" t="inlineStr">
        <is>
          <t>aeaxn.22@gmail.com</t>
        </is>
      </c>
      <c r="C1139" s="5">
        <f>?utf-8?B?2KfZhNix2KzYp9ihINmF2LPYrSDYp9mE2KfYs9in2KbZhw==?=</f>
        <v/>
      </c>
      <c r="D1139" s="5" t="inlineStr">
        <is>
          <t>﻿ ﻿ Hello! How can we help you?  Report وزباله و بنت تسال و تشرد : 65691000   ‫أُرسلت من الـ iPhone‬</t>
        </is>
      </c>
      <c r="E1139" s="7" t="inlineStr">
        <is>
          <t>65691000</t>
        </is>
      </c>
    </row>
    <row r="1140" ht="18" customHeight="1">
      <c r="A1140" s="2" t="inlineStr">
        <is>
          <t>Hn An &lt;aeaxn.22@gmail.com&gt;</t>
        </is>
      </c>
      <c r="B1140" s="3" t="inlineStr">
        <is>
          <t>aeaxn.22@gmail.com</t>
        </is>
      </c>
      <c r="C1140" s="2">
        <f>?utf-8?B?2KfZhNix2KzYp9ihINmF2LPYrSDYp9mE2KfYs9in2KbZhw==?=</f>
        <v/>
      </c>
      <c r="D1140" s="2" t="inlineStr">
        <is>
          <t>﻿ ﻿ Hello! How can we help you?  Report وزباله و بنت تسال و تشرد : 65691000   ‫أُرسلت من الـ iPhone‬</t>
        </is>
      </c>
      <c r="E1140" s="4" t="inlineStr">
        <is>
          <t>65691000</t>
        </is>
      </c>
    </row>
    <row r="1141" ht="18" customHeight="1">
      <c r="A1141" s="5" t="inlineStr">
        <is>
          <t>Hn An &lt;aeaxn.22@gmail.com&gt;</t>
        </is>
      </c>
      <c r="B1141" s="6" t="inlineStr">
        <is>
          <t>aeaxn.22@gmail.com</t>
        </is>
      </c>
      <c r="C1141" s="5">
        <f>?utf-8?B?2KfZhNix2KzYp9ihINmF2LPYrSDYp9mE2KfYs9in2KbZhw==?=</f>
        <v/>
      </c>
      <c r="D1141" s="5" t="inlineStr">
        <is>
          <t>﻿ ﻿ Hello! How can we help you?  Report وزباله و بنت تسال و تشرد : 65691000   ‫أُرسلت من الـ iPhone‬</t>
        </is>
      </c>
      <c r="E1141" s="7" t="inlineStr">
        <is>
          <t>65691000</t>
        </is>
      </c>
    </row>
    <row r="1142" ht="18" customHeight="1">
      <c r="A1142" s="2" t="inlineStr">
        <is>
          <t>Hn An &lt;aeaxn.22@gmail.com&gt;</t>
        </is>
      </c>
      <c r="B1142" s="3" t="inlineStr">
        <is>
          <t>aeaxn.22@gmail.com</t>
        </is>
      </c>
      <c r="C1142" s="2">
        <f>?utf-8?B?2KfZhNix2KzYp9ihINmF2LPYrSDYp9mE2KfYs9in2KbZhw==?=</f>
        <v/>
      </c>
      <c r="D1142" s="2" t="inlineStr">
        <is>
          <t>﻿ ﻿ Hello! How can we help you?  Report وزباله و بنت تسال و تشرد : 65691000   ‫أُرسلت من الـ iPhone‬</t>
        </is>
      </c>
      <c r="E1142" s="4" t="inlineStr">
        <is>
          <t>65691000</t>
        </is>
      </c>
    </row>
    <row r="1143" ht="18" customHeight="1">
      <c r="A1143" s="5" t="inlineStr">
        <is>
          <t>Hn An &lt;aeaxn.22@gmail.com&gt;</t>
        </is>
      </c>
      <c r="B1143" s="6" t="inlineStr">
        <is>
          <t>aeaxn.22@gmail.com</t>
        </is>
      </c>
      <c r="C1143" s="5">
        <f>?utf-8?B?2KfZhNix2KzYp9ihINmF2LPYrSDYp9mE2KfYs9in2KbZhw==?=</f>
        <v/>
      </c>
      <c r="D1143" s="5" t="inlineStr">
        <is>
          <t>﻿ ﻿ Hello! How can we help you?  Report وزباله و بنت تسال و تشرد : 65691000   ‫أُرسلت من الـ iPhone‬</t>
        </is>
      </c>
      <c r="E1143" s="7" t="inlineStr">
        <is>
          <t>65691000</t>
        </is>
      </c>
    </row>
    <row r="1144" ht="18" customHeight="1">
      <c r="A1144" s="2" t="inlineStr">
        <is>
          <t>Hn An &lt;aeaxn.22@gmail.com&gt;</t>
        </is>
      </c>
      <c r="B1144" s="3" t="inlineStr">
        <is>
          <t>aeaxn.22@gmail.com</t>
        </is>
      </c>
      <c r="C1144" s="2">
        <f>?utf-8?B?2KfZhNix2KzYp9ihINmF2LPYrSDYp9mE2KfYs9in2KbZhw==?=</f>
        <v/>
      </c>
      <c r="D1144" s="2" t="inlineStr">
        <is>
          <t>﻿ ﻿ Hello! How can we help you?  Report وزباله و بنت تسال و تشرد : 65691000   ‫أُرسلت من الـ iPhone‬</t>
        </is>
      </c>
      <c r="E1144" s="4" t="inlineStr">
        <is>
          <t>65691000</t>
        </is>
      </c>
    </row>
    <row r="1145" ht="18" customHeight="1">
      <c r="A1145" s="5" t="inlineStr">
        <is>
          <t>Hn An &lt;aeaxn.22@gmail.com&gt;</t>
        </is>
      </c>
      <c r="B1145" s="6" t="inlineStr">
        <is>
          <t>aeaxn.22@gmail.com</t>
        </is>
      </c>
      <c r="C1145" s="5">
        <f>?utf-8?B?2KfZhNix2KzYp9ihINmF2LPYrSDYp9mE2KfYs9in2KbZhw==?=</f>
        <v/>
      </c>
      <c r="D1145" s="5" t="inlineStr">
        <is>
          <t>﻿ ﻿ Hello! How can we help you?  Report وزباله و بنت تسال و تشرد : 65691000   ‫أُرسلت من الـ iPhone‬</t>
        </is>
      </c>
      <c r="E1145" s="7" t="inlineStr">
        <is>
          <t>65691000</t>
        </is>
      </c>
    </row>
    <row r="1146" ht="18" customHeight="1">
      <c r="A1146" s="2" t="inlineStr">
        <is>
          <t>Hn An &lt;aeaxn.22@gmail.com&gt;</t>
        </is>
      </c>
      <c r="B1146" s="3" t="inlineStr">
        <is>
          <t>aeaxn.22@gmail.com</t>
        </is>
      </c>
      <c r="C1146" s="2">
        <f>?utf-8?B?2KfZhNix2KzYp9ihINmF2LPYrSDYp9mE2KfYs9in2KbZhw==?=</f>
        <v/>
      </c>
      <c r="D1146" s="2" t="inlineStr">
        <is>
          <t>﻿ ﻿ Hello! How can we help you?  Report وزباله و بنت تسال و تشرد : 65691000   ‫أُرسلت من الـ iPhone‬</t>
        </is>
      </c>
      <c r="E1146" s="4" t="inlineStr">
        <is>
          <t>65691000</t>
        </is>
      </c>
    </row>
    <row r="1147" ht="18" customHeight="1">
      <c r="A1147" s="5" t="inlineStr">
        <is>
          <t>Hn An &lt;aeaxn.22@gmail.com&gt;</t>
        </is>
      </c>
      <c r="B1147" s="6" t="inlineStr">
        <is>
          <t>aeaxn.22@gmail.com</t>
        </is>
      </c>
      <c r="C1147" s="5">
        <f>?utf-8?B?2KfZhNix2KzYp9ihINmF2LPYrSDYp9mE2KfYs9in2KbZhw==?=</f>
        <v/>
      </c>
      <c r="D1147" s="5" t="inlineStr">
        <is>
          <t>﻿ ﻿ Hello! How can we help you?  Report وزباله و بنت تسال و تشرد : 65691000   ‫أُرسلت من الـ iPhone‬</t>
        </is>
      </c>
      <c r="E1147" s="7" t="inlineStr">
        <is>
          <t>65691000</t>
        </is>
      </c>
    </row>
    <row r="1148" ht="18" customHeight="1">
      <c r="A1148" s="2" t="inlineStr">
        <is>
          <t>Hn An &lt;aeaxn.22@gmail.com&gt;</t>
        </is>
      </c>
      <c r="B1148" s="3" t="inlineStr">
        <is>
          <t>aeaxn.22@gmail.com</t>
        </is>
      </c>
      <c r="C1148" s="2">
        <f>?utf-8?B?2KfZhNix2KzYp9ihINmF2LPYrSDYp9mE2KfYs9in2KbZhw==?=</f>
        <v/>
      </c>
      <c r="D1148" s="2" t="inlineStr">
        <is>
          <t>﻿ ﻿ Hello! How can we help you?  Report وزباله و بنت تسال و تشرد : 65691000   ‫أُرسلت من الـ iPhone‬</t>
        </is>
      </c>
      <c r="E1148" s="4" t="inlineStr">
        <is>
          <t>65691000</t>
        </is>
      </c>
    </row>
    <row r="1149" ht="18" customHeight="1">
      <c r="A1149" s="5" t="inlineStr">
        <is>
          <t>Hn An &lt;aeaxn.22@gmail.com&gt;</t>
        </is>
      </c>
      <c r="B1149" s="6" t="inlineStr">
        <is>
          <t>aeaxn.22@gmail.com</t>
        </is>
      </c>
      <c r="C1149" s="5">
        <f>?utf-8?B?2KfZhNix2KzYp9ihINmF2LPYrSDYp9mE2KfYs9in2KbZhw==?=</f>
        <v/>
      </c>
      <c r="D1149" s="5" t="inlineStr">
        <is>
          <t>﻿ Hello! How can we help you?  Report وزباله و بنت تسال و تشرد : 65691000   ‫أُرسلت من الـ iPhone‬</t>
        </is>
      </c>
      <c r="E1149" s="7" t="inlineStr">
        <is>
          <t>65691000</t>
        </is>
      </c>
    </row>
    <row r="1150" ht="18" customHeight="1">
      <c r="A1150" s="2" t="inlineStr">
        <is>
          <t>Hn An &lt;aeaxn.22@gmail.com&gt;</t>
        </is>
      </c>
      <c r="B1150" s="3" t="inlineStr">
        <is>
          <t>aeaxn.22@gmail.com</t>
        </is>
      </c>
      <c r="C1150" s="2">
        <f>?utf-8?B?2KfZhNix2KzYp9ihINmF2LPYrSDYp9mE2KfYs9in2KbZhw==?=</f>
        <v/>
      </c>
      <c r="D1150" s="2" t="inlineStr">
        <is>
          <t>﻿ Hello! How can we help you?  Report وزباله و بنت تسال و تشرد : 65691000   ‫أُرسلت من الـ iPhone‬</t>
        </is>
      </c>
      <c r="E1150" s="4" t="inlineStr">
        <is>
          <t>65691000</t>
        </is>
      </c>
    </row>
    <row r="1151" ht="18" customHeight="1">
      <c r="A1151" s="5" t="inlineStr">
        <is>
          <t>Hn An &lt;aeaxn.22@gmail.com&gt;</t>
        </is>
      </c>
      <c r="B1151" s="6" t="inlineStr">
        <is>
          <t>aeaxn.22@gmail.com</t>
        </is>
      </c>
      <c r="C1151" s="5">
        <f>?utf-8?B?2KfZhNix2KzYp9ihINmF2LPYrSDYp9mE2KfYs9in2KbZhw==?=</f>
        <v/>
      </c>
      <c r="D1151" s="5" t="inlineStr">
        <is>
          <t>﻿ Hello! How can we help you?  Report وزباله و بنت تسال و تشرد : 65691000   ‫أُرسلت من الـ iPhone‬</t>
        </is>
      </c>
      <c r="E1151" s="7" t="inlineStr">
        <is>
          <t>65691000</t>
        </is>
      </c>
    </row>
    <row r="1152" ht="18" customHeight="1">
      <c r="A1152" s="2" t="inlineStr">
        <is>
          <t>Hn An &lt;aeaxn.22@gmail.com&gt;</t>
        </is>
      </c>
      <c r="B1152" s="3" t="inlineStr">
        <is>
          <t>aeaxn.22@gmail.com</t>
        </is>
      </c>
      <c r="C1152" s="2">
        <f>?utf-8?B?2KfZhNix2KzYp9ihINmF2LPYrSDYp9mE2KfYs9in2KbZhw==?=</f>
        <v/>
      </c>
      <c r="D1152" s="2" t="inlineStr">
        <is>
          <t>﻿ Hello! How can we help you?  Report وزباله و بنت تسال و تشرد : 65691000   ‫أُرسلت من الـ iPhone‬</t>
        </is>
      </c>
      <c r="E1152" s="4" t="inlineStr">
        <is>
          <t>65691000</t>
        </is>
      </c>
    </row>
    <row r="1153" ht="18" customHeight="1">
      <c r="A1153" s="5" t="inlineStr">
        <is>
          <t>Hn An &lt;aeaxn.22@gmail.com&gt;</t>
        </is>
      </c>
      <c r="B1153" s="6" t="inlineStr">
        <is>
          <t>aeaxn.22@gmail.com</t>
        </is>
      </c>
      <c r="C1153" s="5">
        <f>?utf-8?B?2KfZhNix2KzYp9ihINmF2LPYrSDYp9mE2KfYs9in2KbZhw==?=</f>
        <v/>
      </c>
      <c r="D1153" s="5" t="inlineStr">
        <is>
          <t>﻿ Hello! How can we help you?  Report وزباله و بنت تسال و تشرد : 65691000   ‫أُرسلت من الـ iPhone‬</t>
        </is>
      </c>
      <c r="E1153" s="7" t="inlineStr">
        <is>
          <t>65691000</t>
        </is>
      </c>
    </row>
    <row r="1154" ht="18" customHeight="1">
      <c r="A1154" s="2" t="inlineStr">
        <is>
          <t>Hn An &lt;aeaxn.22@gmail.com&gt;</t>
        </is>
      </c>
      <c r="B1154" s="3" t="inlineStr">
        <is>
          <t>aeaxn.22@gmail.com</t>
        </is>
      </c>
      <c r="C1154" s="2">
        <f>?utf-8?B?2KfZhNix2KzYp9ihINmF2LPYrSDYp9mE2KfYs9in2KbZhw==?=</f>
        <v/>
      </c>
      <c r="D1154" s="2" t="inlineStr">
        <is>
          <t>﻿ Hello! How can we help you?  Report وزباله و بنت تسال و تشرد : 65691000   ‫أُرسلت من الـ iPhone‬</t>
        </is>
      </c>
      <c r="E1154" s="4" t="inlineStr">
        <is>
          <t>65691000</t>
        </is>
      </c>
    </row>
    <row r="1155" ht="18" customHeight="1">
      <c r="A1155" s="5" t="inlineStr">
        <is>
          <t>Hn An &lt;aeaxn.22@gmail.com&gt;</t>
        </is>
      </c>
      <c r="B1155" s="6" t="inlineStr">
        <is>
          <t>aeaxn.22@gmail.com</t>
        </is>
      </c>
      <c r="C1155" s="5">
        <f>?utf-8?B?2KfZhNix2KzYp9ihINmF2LPYrSDYp9mE2KfYs9in2KbZhw==?=</f>
        <v/>
      </c>
      <c r="D1155" s="5" t="inlineStr">
        <is>
          <t>﻿ Hello! How can we help you?  Report وزباله و بنت تسال و تشرد : 65691000   ‫أُرسلت من الـ iPhone‬</t>
        </is>
      </c>
      <c r="E1155" s="7" t="inlineStr">
        <is>
          <t>65691000</t>
        </is>
      </c>
    </row>
    <row r="1156" ht="18" customHeight="1">
      <c r="A1156" s="2" t="inlineStr">
        <is>
          <t>Hn An &lt;aeaxn.22@gmail.com&gt;</t>
        </is>
      </c>
      <c r="B1156" s="3" t="inlineStr">
        <is>
          <t>aeaxn.22@gmail.com</t>
        </is>
      </c>
      <c r="C1156" s="2">
        <f>?utf-8?B?2KfZhNix2KzYp9ihINmF2LPYrSDYp9mE2KfYs9in2KbZhw==?=</f>
        <v/>
      </c>
      <c r="D1156" s="2" t="inlineStr">
        <is>
          <t>﻿ Hello! How can we help you?  Report وزباله و بنت تسال و تشرد : 65691000   ‫أُرسلت من الـ iPhone‬</t>
        </is>
      </c>
      <c r="E1156" s="4" t="inlineStr">
        <is>
          <t>65691000</t>
        </is>
      </c>
    </row>
    <row r="1157" ht="18" customHeight="1">
      <c r="A1157" s="5" t="inlineStr">
        <is>
          <t>Hn An &lt;aeaxn.22@gmail.com&gt;</t>
        </is>
      </c>
      <c r="B1157" s="6" t="inlineStr">
        <is>
          <t>aeaxn.22@gmail.com</t>
        </is>
      </c>
      <c r="C1157" s="5">
        <f>?utf-8?B?2KfZhNix2KzYp9ihINmF2LPYrSDYp9mE2KfYs9in2KbZhw==?=</f>
        <v/>
      </c>
      <c r="D1157" s="5" t="inlineStr">
        <is>
          <t>﻿ Hello! How can we help you?  Report وزباله و بنت تسال و تشرد : 65691000   ‫أُرسلت من الـ iPhone‬</t>
        </is>
      </c>
      <c r="E1157" s="7" t="inlineStr">
        <is>
          <t>65691000</t>
        </is>
      </c>
    </row>
    <row r="1158" ht="18" customHeight="1">
      <c r="A1158" s="2" t="inlineStr">
        <is>
          <t>Hn An &lt;aeaxn.22@gmail.com&gt;</t>
        </is>
      </c>
      <c r="B1158" s="3" t="inlineStr">
        <is>
          <t>aeaxn.22@gmail.com</t>
        </is>
      </c>
      <c r="C1158" s="2">
        <f>?utf-8?B?2KfZhNix2KzYp9ihINmF2LPYrSDYp9mE2KfYs9in2KbZhw==?=</f>
        <v/>
      </c>
      <c r="D1158" s="2" t="inlineStr">
        <is>
          <t>﻿ Hello! How can we help you?  Report وزباله و بنت تسال و تشرد : 65691000   ‫أُرسلت من الـ iPhone‬</t>
        </is>
      </c>
      <c r="E1158" s="4" t="inlineStr">
        <is>
          <t>65691000</t>
        </is>
      </c>
    </row>
    <row r="1159" ht="18" customHeight="1">
      <c r="A1159" s="5" t="inlineStr">
        <is>
          <t>Hn An &lt;aeaxn.22@gmail.com&gt;</t>
        </is>
      </c>
      <c r="B1159" s="6" t="inlineStr">
        <is>
          <t>aeaxn.22@gmail.com</t>
        </is>
      </c>
      <c r="C1159" s="5">
        <f>?utf-8?B?2KfZhNix2KzYp9ihINmF2LPYrSDYp9mE2KfYs9in2KbZhw==?=</f>
        <v/>
      </c>
      <c r="D1159" s="5" t="inlineStr">
        <is>
          <t>﻿ Hello! How can we help you?  Report وزباله و بنت تسال و تشرد : 65691000   ‫أُرسلت من الـ iPhone‬</t>
        </is>
      </c>
      <c r="E1159" s="7" t="inlineStr">
        <is>
          <t>65691000</t>
        </is>
      </c>
    </row>
    <row r="1160" ht="18" customHeight="1">
      <c r="A1160" s="2" t="inlineStr">
        <is>
          <t>Hn An &lt;aeaxn.22@gmail.com&gt;</t>
        </is>
      </c>
      <c r="B1160" s="3" t="inlineStr">
        <is>
          <t>aeaxn.22@gmail.com</t>
        </is>
      </c>
      <c r="C1160" s="2">
        <f>?utf-8?B?2KfZhNix2KzYp9ihINmF2LPYrSDYp9mE2KfYs9in2KbZhw==?=</f>
        <v/>
      </c>
      <c r="D1160" s="2" t="inlineStr">
        <is>
          <t>﻿ Hello! How can we help you?  Report وزباله و بنت تسال و تشرد : 65691000   ‫أُرسلت من الـ iPhone‬</t>
        </is>
      </c>
      <c r="E1160" s="4" t="inlineStr">
        <is>
          <t>65691000</t>
        </is>
      </c>
    </row>
    <row r="1161" ht="18" customHeight="1">
      <c r="A1161" s="5" t="inlineStr">
        <is>
          <t>Hn An &lt;aeaxn.22@gmail.com&gt;</t>
        </is>
      </c>
      <c r="B1161" s="6" t="inlineStr">
        <is>
          <t>aeaxn.22@gmail.com</t>
        </is>
      </c>
      <c r="C1161" s="5">
        <f>?utf-8?B?2KfZhNix2KzYp9ihINmF2LPYrSDYp9mE2KfYs9in2KbZhw==?=</f>
        <v/>
      </c>
      <c r="D1161" s="5" t="inlineStr">
        <is>
          <t>﻿ Hello! How can we help you?  Report وزباله و بنت تسال و تشرد : 65691000   ‫أُرسلت من الـ iPhone‬</t>
        </is>
      </c>
      <c r="E1161" s="7" t="inlineStr">
        <is>
          <t>65691000</t>
        </is>
      </c>
    </row>
    <row r="1162" ht="18" customHeight="1">
      <c r="A1162" s="2" t="inlineStr">
        <is>
          <t>Hn An &lt;aeaxn.22@gmail.com&gt;</t>
        </is>
      </c>
      <c r="B1162" s="3" t="inlineStr">
        <is>
          <t>aeaxn.22@gmail.com</t>
        </is>
      </c>
      <c r="C1162" s="2">
        <f>?utf-8?B?2KfZhNix2KzYp9ihINmF2LPYrSDYp9mE2KfYs9in2KbZhw==?=</f>
        <v/>
      </c>
      <c r="D1162" s="2" t="inlineStr">
        <is>
          <t>﻿ ﻿ ﻿ Hello! How can we help you?  Report وزباله و بنت تسال و تشرد : 65691000   ‫أُرسلت من الـ iPhone‬</t>
        </is>
      </c>
      <c r="E1162" s="4" t="inlineStr">
        <is>
          <t>65691000</t>
        </is>
      </c>
    </row>
    <row r="1163" ht="18" customHeight="1">
      <c r="A1163" s="5" t="inlineStr">
        <is>
          <t>Hn An &lt;aeaxn.22@gmail.com&gt;</t>
        </is>
      </c>
      <c r="B1163" s="6" t="inlineStr">
        <is>
          <t>aeaxn.22@gmail.com</t>
        </is>
      </c>
      <c r="C1163" s="5">
        <f>?utf-8?B?2KfZhNix2KzYp9ihINmF2LPYrSDYp9mE2KfYs9in2KbZhw==?=</f>
        <v/>
      </c>
      <c r="D1163" s="5" t="inlineStr">
        <is>
          <t>﻿ ﻿ Hello! How can we help you?  Report وزباله و بنت تسال و تشرد : 65691000   ‫أُرسلت من الـ iPhone‬</t>
        </is>
      </c>
      <c r="E1163" s="7" t="inlineStr">
        <is>
          <t>65691000</t>
        </is>
      </c>
    </row>
    <row r="1164" ht="18" customHeight="1">
      <c r="A1164" s="2" t="inlineStr">
        <is>
          <t>Hn An &lt;aeaxn.22@gmail.com&gt;</t>
        </is>
      </c>
      <c r="B1164" s="3" t="inlineStr">
        <is>
          <t>aeaxn.22@gmail.com</t>
        </is>
      </c>
      <c r="C1164" s="2">
        <f>?utf-8?B?2KfZhNix2KzYp9ihINmF2LPYrSDYp9mE2KfYs9in2KbZhw==?=</f>
        <v/>
      </c>
      <c r="D1164" s="2" t="inlineStr">
        <is>
          <t>﻿ Hello! How can we help you?  Report وزباله و بنت تسال و تشرد : 65691000   ‫أُرسلت من الـ iPhone‬</t>
        </is>
      </c>
      <c r="E1164" s="4" t="inlineStr">
        <is>
          <t>65691000</t>
        </is>
      </c>
    </row>
    <row r="1165" ht="18" customHeight="1">
      <c r="A1165" s="5" t="inlineStr">
        <is>
          <t>Hn An &lt;aeaxn.22@gmail.com&gt;</t>
        </is>
      </c>
      <c r="B1165" s="6" t="inlineStr">
        <is>
          <t>aeaxn.22@gmail.com</t>
        </is>
      </c>
      <c r="C1165" s="5">
        <f>?utf-8?B?2KfZhNix2KzYp9ihINmF2LPYrSDYp9mE2KfYs9in2KbZhw==?=</f>
        <v/>
      </c>
      <c r="D1165" s="5" t="inlineStr">
        <is>
          <t>﻿ Hello! How can we help you?  Report وزباله و بنت تسال و تشرد : 65691000   ‫أُرسلت من الـ iPhone‬</t>
        </is>
      </c>
      <c r="E1165" s="7" t="inlineStr">
        <is>
          <t>65691000</t>
        </is>
      </c>
    </row>
    <row r="1166" ht="18" customHeight="1">
      <c r="A1166" s="2" t="inlineStr">
        <is>
          <t>Hn An &lt;aeaxn.22@gmail.com&gt;</t>
        </is>
      </c>
      <c r="B1166" s="3" t="inlineStr">
        <is>
          <t>aeaxn.22@gmail.com</t>
        </is>
      </c>
      <c r="C1166" s="2">
        <f>?utf-8?B?2KfZhNix2KzYp9ihINmF2LPYrSDYp9mE2KfYs9in2KbZhw==?=</f>
        <v/>
      </c>
      <c r="D1166" s="2" t="inlineStr">
        <is>
          <t>﻿ Hello! How can we help you?  Report وزباله و بنت تسال و تشرد : 65691000   ‫أُرسلت من الـ iPhone‬</t>
        </is>
      </c>
      <c r="E1166" s="4" t="inlineStr">
        <is>
          <t>65691000</t>
        </is>
      </c>
    </row>
    <row r="1167" ht="18" customHeight="1">
      <c r="A1167" s="5" t="inlineStr">
        <is>
          <t>Hn An &lt;aeaxn.22@gmail.com&gt;</t>
        </is>
      </c>
      <c r="B1167" s="6" t="inlineStr">
        <is>
          <t>aeaxn.22@gmail.com</t>
        </is>
      </c>
      <c r="C1167" s="5">
        <f>?utf-8?B?2KfZhNix2KzYp9ihINmF2LPYrSDYp9mE2KfYs9in2KbZhw==?=</f>
        <v/>
      </c>
      <c r="D1167" s="5" t="inlineStr">
        <is>
          <t>﻿ Hello! How can we help you?  Report وزباله و بنت تسال و تشرد : 65691000   ‫أُرسلت من الـ iPhone‬</t>
        </is>
      </c>
      <c r="E1167" s="7" t="inlineStr">
        <is>
          <t>65691000</t>
        </is>
      </c>
    </row>
    <row r="1168" ht="18" customHeight="1">
      <c r="A1168" s="2" t="inlineStr">
        <is>
          <t>Hn An &lt;aeaxn.22@gmail.com&gt;</t>
        </is>
      </c>
      <c r="B1168" s="3" t="inlineStr">
        <is>
          <t>aeaxn.22@gmail.com</t>
        </is>
      </c>
      <c r="C1168" s="2">
        <f>?utf-8?B?2KfZhNix2KzYp9ihINmF2LPYrSDYp9mE2KfYs9in2KbZhw==?=</f>
        <v/>
      </c>
      <c r="D1168" s="2" t="inlineStr">
        <is>
          <t>﻿ Hello! How can we help you?  Report وزباله و بنت تسال و تشرد : 65691000   ‫أُرسلت من الـ iPhone‬</t>
        </is>
      </c>
      <c r="E1168" s="4" t="inlineStr">
        <is>
          <t>65691000</t>
        </is>
      </c>
    </row>
    <row r="1169" ht="18" customHeight="1">
      <c r="A1169" s="5" t="inlineStr">
        <is>
          <t>Hn An &lt;aeaxn.22@gmail.com&gt;</t>
        </is>
      </c>
      <c r="B1169" s="6" t="inlineStr">
        <is>
          <t>aeaxn.22@gmail.com</t>
        </is>
      </c>
      <c r="C1169" s="5">
        <f>?utf-8?B?2KfZhNix2KzYp9ihINmF2LPYrSDYp9mE2KfYs9in2KbZhw==?=</f>
        <v/>
      </c>
      <c r="D1169" s="5" t="inlineStr">
        <is>
          <t>﻿ Hello! How can we help you?  Report وزباله و بنت تسال و تشرد : 65691000   ‫أُرسلت من الـ iPhone‬</t>
        </is>
      </c>
      <c r="E1169" s="7" t="inlineStr">
        <is>
          <t>65691000</t>
        </is>
      </c>
    </row>
    <row r="1170" ht="18" customHeight="1">
      <c r="A1170" s="2" t="inlineStr">
        <is>
          <t>Hn An &lt;aeaxn.22@gmail.com&gt;</t>
        </is>
      </c>
      <c r="B1170" s="3" t="inlineStr">
        <is>
          <t>aeaxn.22@gmail.com</t>
        </is>
      </c>
      <c r="C1170" s="2">
        <f>?utf-8?B?2KfZhNix2KzYp9ihINmF2LPYrSDYp9mE2KfYs9in2KbZhw==?=</f>
        <v/>
      </c>
      <c r="D1170" s="2" t="inlineStr">
        <is>
          <t>﻿ Hello! How can we help you?  Report وزباله و بنت تسال و تشرد : 65691000   ‫أُرسلت من الـ iPhone‬</t>
        </is>
      </c>
      <c r="E1170" s="4" t="inlineStr">
        <is>
          <t>65691000</t>
        </is>
      </c>
    </row>
    <row r="1171" ht="18" customHeight="1">
      <c r="A1171" s="5" t="inlineStr">
        <is>
          <t>Hn An &lt;aeaxn.22@gmail.com&gt;</t>
        </is>
      </c>
      <c r="B1171" s="6" t="inlineStr">
        <is>
          <t>aeaxn.22@gmail.com</t>
        </is>
      </c>
      <c r="C1171" s="5">
        <f>?utf-8?B?2KfZhNix2KzYp9ihINmF2LPYrSDYp9mE2KfYs9in2KbZhw==?=</f>
        <v/>
      </c>
      <c r="D1171" s="5" t="inlineStr">
        <is>
          <t>﻿ Hello! How can we help you?  Report وزباله و بنت تسال و تشرد : 65691000   ‫أُرسلت من الـ iPhone‬</t>
        </is>
      </c>
      <c r="E1171" s="7" t="inlineStr">
        <is>
          <t>65691000</t>
        </is>
      </c>
    </row>
    <row r="1172" ht="18" customHeight="1">
      <c r="A1172" s="2" t="inlineStr">
        <is>
          <t>Hn An &lt;aeaxn.22@gmail.com&gt;</t>
        </is>
      </c>
      <c r="B1172" s="3" t="inlineStr">
        <is>
          <t>aeaxn.22@gmail.com</t>
        </is>
      </c>
      <c r="C1172" s="2">
        <f>?utf-8?B?2KfZhNix2KzYp9ihINmF2LPYrSDYp9mE2KfYs9in2KbZhw==?=</f>
        <v/>
      </c>
      <c r="D1172" s="2" t="inlineStr">
        <is>
          <t>﻿ Hello! How can we help you?  Report وزباله و بنت تسال و تشرد : 65691000   ‫أُرسلت من الـ iPhone‬</t>
        </is>
      </c>
      <c r="E1172" s="4" t="inlineStr">
        <is>
          <t>65691000</t>
        </is>
      </c>
    </row>
    <row r="1173" ht="18" customHeight="1">
      <c r="A1173" s="5" t="inlineStr">
        <is>
          <t>Hn An &lt;aeaxn.22@gmail.com&gt;</t>
        </is>
      </c>
      <c r="B1173" s="6" t="inlineStr">
        <is>
          <t>aeaxn.22@gmail.com</t>
        </is>
      </c>
      <c r="C1173" s="5">
        <f>?utf-8?B?2KfZhNix2KzYp9ihINmF2LPYrSDYp9mE2KfYs9in2KbZhw==?=</f>
        <v/>
      </c>
      <c r="D1173" s="5" t="inlineStr">
        <is>
          <t>﻿ Hello! How can we help you?  Report وزباله و بنت تسال و تشرد : 65691000   ‫أُرسلت من الـ iPhone‬</t>
        </is>
      </c>
      <c r="E1173" s="7" t="inlineStr">
        <is>
          <t>65691000</t>
        </is>
      </c>
    </row>
    <row r="1174" ht="18" customHeight="1">
      <c r="A1174" s="2" t="inlineStr">
        <is>
          <t>Hn An &lt;aeaxn.22@gmail.com&gt;</t>
        </is>
      </c>
      <c r="B1174" s="3" t="inlineStr">
        <is>
          <t>aeaxn.22@gmail.com</t>
        </is>
      </c>
      <c r="C1174" s="2">
        <f>?utf-8?B?2KfZhNix2KzYp9ihINmF2LPYrSDYp9mE2KfYs9in2KbZhw==?=</f>
        <v/>
      </c>
      <c r="D1174" s="2" t="inlineStr">
        <is>
          <t>﻿ Hello! How can we help you?  Report وزباله و بنت تسال و تشرد : 65691000   ‫أُرسلت من الـ iPhone‬</t>
        </is>
      </c>
      <c r="E1174" s="4" t="inlineStr">
        <is>
          <t>65691000</t>
        </is>
      </c>
    </row>
    <row r="1175" ht="18" customHeight="1">
      <c r="A1175" s="5" t="inlineStr">
        <is>
          <t>Hn An &lt;aeaxn.22@gmail.com&gt;</t>
        </is>
      </c>
      <c r="B1175" s="6" t="inlineStr">
        <is>
          <t>aeaxn.22@gmail.com</t>
        </is>
      </c>
      <c r="C1175" s="5">
        <f>?utf-8?B?2KfZhNiz2YTYp9mFINi52YTZitmD2YUg2YXZhdmD2YYg2YXYs9it?=  =?utf-8?B?INin2KfZhNin2LPYp9im2Ycg?=</f>
        <v/>
      </c>
      <c r="D1175" s="5" t="inlineStr">
        <is>
          <t>﻿ Hello! How can we help you?  Report وزباله و بنت تسال و تشرد : 65691000   ‫أُرسلت من الـ iPhone‬</t>
        </is>
      </c>
      <c r="E1175" s="7" t="inlineStr">
        <is>
          <t>65691000</t>
        </is>
      </c>
    </row>
    <row r="1176" ht="18" customHeight="1">
      <c r="A1176" s="2" t="inlineStr">
        <is>
          <t>Hn An &lt;aeaxn.22@gmail.com&gt;</t>
        </is>
      </c>
      <c r="B1176" s="3" t="inlineStr">
        <is>
          <t>aeaxn.22@gmail.com</t>
        </is>
      </c>
      <c r="C1176" s="2">
        <f>?utf-8?B?2KfZhNiz2YTYp9mFINi52YTZitmD2YUg2YXZhdmD2YYg2YXYs9it?=  =?utf-8?B?INin2KfZhNin2LPYp9im2Ycg?=</f>
        <v/>
      </c>
      <c r="D1176" s="2" t="inlineStr">
        <is>
          <t>﻿ Hello! How can we help you?  Report وزباله و بنت تسال و تشرد : 65691000   ‫أُرسلت من الـ iPhone‬</t>
        </is>
      </c>
      <c r="E1176" s="4" t="inlineStr">
        <is>
          <t>65691000</t>
        </is>
      </c>
    </row>
    <row r="1177" ht="18" customHeight="1">
      <c r="A1177" s="5" t="inlineStr">
        <is>
          <t>Hn An &lt;aeaxn.22@gmail.com&gt;</t>
        </is>
      </c>
      <c r="B1177" s="6" t="inlineStr">
        <is>
          <t>aeaxn.22@gmail.com</t>
        </is>
      </c>
      <c r="C1177" s="5">
        <f>?utf-8?B?2KfZhNiz2YTYp9mFINi52YTZitmD2YUg2YXZhdmD2YYg2YXYs9it?=  =?utf-8?B?INin2KfZhNin2LPYp9im2Ycg?=</f>
        <v/>
      </c>
      <c r="D1177" s="5" t="inlineStr">
        <is>
          <t>﻿ Hello! How can we help you?  Report وزباله و بنت تسال و تشرد : 65691000   ‫أُرسلت من الـ iPhone‬</t>
        </is>
      </c>
      <c r="E1177" s="7" t="inlineStr">
        <is>
          <t>65691000</t>
        </is>
      </c>
    </row>
    <row r="1178" ht="18" customHeight="1">
      <c r="A1178" s="2" t="inlineStr">
        <is>
          <t>Hn An &lt;aeaxn.22@gmail.com&gt;</t>
        </is>
      </c>
      <c r="B1178" s="3" t="inlineStr">
        <is>
          <t>aeaxn.22@gmail.com</t>
        </is>
      </c>
      <c r="C1178" s="2">
        <f>?utf-8?B?2KfZhNiz2YTYp9mFINi52YTZitmD2YUg2YXZhdmD2YYg2YXYs9it?=  =?utf-8?B?INin2KfZhNin2LPYp9im2Ycg?=</f>
        <v/>
      </c>
      <c r="D1178" s="2" t="inlineStr">
        <is>
          <t>﻿ Hello! How can we help you?  Report وزباله و بنت تسال و تشرد : 65691000   ‫أُرسلت من الـ iPhone‬</t>
        </is>
      </c>
      <c r="E1178" s="4" t="inlineStr">
        <is>
          <t>65691000</t>
        </is>
      </c>
    </row>
    <row r="1179" ht="18" customHeight="1">
      <c r="A1179" s="5" t="inlineStr">
        <is>
          <t>Hn An &lt;aeaxn.22@gmail.com&gt;</t>
        </is>
      </c>
      <c r="B1179" s="6" t="inlineStr">
        <is>
          <t>aeaxn.22@gmail.com</t>
        </is>
      </c>
      <c r="C1179" s="5">
        <f>?utf-8?B?2KfZhNiz2YTYp9mFINi52YTZitmD2YUg2YXZhdmD2YYg2YXYs9it?=  =?utf-8?B?INin2KfZhNin2LPYp9im2Ycg?=</f>
        <v/>
      </c>
      <c r="D1179" s="5" t="inlineStr">
        <is>
          <t>﻿ Hello! How can we help you?  Report وزباله و بنت تسال و تشرد : 65691000   ‫أُرسلت من الـ iPhone‬</t>
        </is>
      </c>
      <c r="E1179" s="7" t="inlineStr">
        <is>
          <t>65691000</t>
        </is>
      </c>
    </row>
    <row r="1180" ht="18" customHeight="1">
      <c r="A1180" s="2" t="inlineStr">
        <is>
          <t>Hn An &lt;aeaxn.22@gmail.com&gt;</t>
        </is>
      </c>
      <c r="B1180" s="3" t="inlineStr">
        <is>
          <t>aeaxn.22@gmail.com</t>
        </is>
      </c>
      <c r="C1180" s="2">
        <f>?utf-8?B?2KfZhNiz2YTYp9mFINi52YTZitmD2YUg2YXZhdmD2YYg2YXYs9it?=  =?utf-8?B?INin2KfZhNin2LPYp9im2Ycg?=</f>
        <v/>
      </c>
      <c r="D1180" s="2" t="inlineStr">
        <is>
          <t>﻿ Hello! How can we help you?  Report وزباله و بنت تسال و تشرد : 65691000   ‫أُرسلت من الـ iPhone‬</t>
        </is>
      </c>
      <c r="E1180" s="4" t="inlineStr">
        <is>
          <t>65691000</t>
        </is>
      </c>
    </row>
    <row r="1181" ht="18" customHeight="1">
      <c r="A1181" s="5" t="inlineStr">
        <is>
          <t>Hn An &lt;aeaxn.22@gmail.com&gt;</t>
        </is>
      </c>
      <c r="B1181" s="6" t="inlineStr">
        <is>
          <t>aeaxn.22@gmail.com</t>
        </is>
      </c>
      <c r="C1181" s="5">
        <f>?utf-8?B?2KfZhNiz2YTYp9mFINi52YTZitmD2YUg2YXZhdmD2YYg2YXYs9it?=  =?utf-8?B?INin2KfZhNin2LPYp9im2Ycg?=</f>
        <v/>
      </c>
      <c r="D1181" s="5" t="inlineStr">
        <is>
          <t>﻿ Hello! How can we help you?  Report وزباله و بنت تسال و تشرد : 65691000   ‫أُرسلت من الـ iPhone‬</t>
        </is>
      </c>
      <c r="E1181" s="7" t="inlineStr">
        <is>
          <t>65691000</t>
        </is>
      </c>
    </row>
    <row r="1182" ht="18" customHeight="1">
      <c r="A1182" s="2" t="inlineStr">
        <is>
          <t>Hn An &lt;aeaxn.22@gmail.com&gt;</t>
        </is>
      </c>
      <c r="B1182" s="3" t="inlineStr">
        <is>
          <t>aeaxn.22@gmail.com</t>
        </is>
      </c>
      <c r="C1182" s="2">
        <f>?utf-8?B?2KfZhNiz2YTYp9mFINi52YTZitmD2YUg2YXZhdmD2YYg2YXYs9it?=  =?utf-8?B?INin2KfZhNin2LPYp9im2Ycg?=</f>
        <v/>
      </c>
      <c r="D1182" s="2" t="inlineStr">
        <is>
          <t>﻿ Hello! How can we help you?  Report وزباله و بنت تسال و تشرد : 65691000   ‫أُرسلت من الـ iPhone‬</t>
        </is>
      </c>
      <c r="E1182" s="4" t="inlineStr">
        <is>
          <t>65691000</t>
        </is>
      </c>
    </row>
    <row r="1183" ht="18" customHeight="1">
      <c r="A1183" s="5" t="inlineStr">
        <is>
          <t>Hn An &lt;aeaxn.22@gmail.com&gt;</t>
        </is>
      </c>
      <c r="B1183" s="6" t="inlineStr">
        <is>
          <t>aeaxn.22@gmail.com</t>
        </is>
      </c>
      <c r="C1183" s="5">
        <f>?utf-8?B?2KfZhNiz2YTYp9mFINi52YTZitmD2YUg2YXZhdmD2YYg2YXYs9it?=  =?utf-8?B?INin2KfZhNin2LPYp9im2Ycg?=</f>
        <v/>
      </c>
      <c r="D1183" s="5" t="inlineStr">
        <is>
          <t>﻿ Hello! How can we help you?  Report وزباله و بنت تسال و تشرد : 65691000   ‫أُرسلت من الـ iPhone‬</t>
        </is>
      </c>
      <c r="E1183" s="7" t="inlineStr">
        <is>
          <t>65691000</t>
        </is>
      </c>
    </row>
    <row r="1184" ht="18" customHeight="1">
      <c r="A1184" s="2" t="inlineStr">
        <is>
          <t>Hn An &lt;aeaxn.22@gmail.com&gt;</t>
        </is>
      </c>
      <c r="B1184" s="3" t="inlineStr">
        <is>
          <t>aeaxn.22@gmail.com</t>
        </is>
      </c>
      <c r="C1184" s="2">
        <f>?utf-8?B?2KfZhNiz2YTYp9mFINi52YTZitmD2YUg2YXZhdmD2YYg2YXYs9it?=  =?utf-8?B?INin2KfZhNin2LPYp9im2Ycg?=</f>
        <v/>
      </c>
      <c r="D1184" s="2" t="inlineStr">
        <is>
          <t>﻿ Hello! How can we help you?  Report وزباله و بنت تسال و تشرد : 65691000   ‫أُرسلت من الـ iPhone‬</t>
        </is>
      </c>
      <c r="E1184" s="4" t="inlineStr">
        <is>
          <t>65691000</t>
        </is>
      </c>
    </row>
    <row r="1185" ht="18" customHeight="1">
      <c r="A1185" s="5" t="inlineStr">
        <is>
          <t>Hn An &lt;aeaxn.22@gmail.com&gt;</t>
        </is>
      </c>
      <c r="B1185" s="6" t="inlineStr">
        <is>
          <t>aeaxn.22@gmail.com</t>
        </is>
      </c>
      <c r="C1185" s="5">
        <f>?utf-8?B?2KfZhNiz2YTYp9mFINi52YTZitmD2YUg2YXZhdmD2YYg2YXYs9it?=  =?utf-8?B?INin2KfZhNin2LPYp9im2Ycg?=</f>
        <v/>
      </c>
      <c r="D1185" s="5" t="inlineStr">
        <is>
          <t>﻿ Hello! How can we help you?  Report وزباله و بنت تسال و تشرد : 65691000   ‫أُرسلت من الـ iPhone‬</t>
        </is>
      </c>
      <c r="E1185" s="7" t="inlineStr">
        <is>
          <t>65691000</t>
        </is>
      </c>
    </row>
    <row r="1186" ht="18" customHeight="1">
      <c r="A1186" s="2" t="inlineStr">
        <is>
          <t>Hn An &lt;aeaxn.22@gmail.com&gt;</t>
        </is>
      </c>
      <c r="B1186" s="3" t="inlineStr">
        <is>
          <t>aeaxn.22@gmail.com</t>
        </is>
      </c>
      <c r="C1186" s="2">
        <f>?utf-8?B?2KfZhNiz2YTYp9mFINi52YTZitmD2YUg2YXZhdmD2YYg2YXYs9it?=  =?utf-8?B?INin2KfZhNin2LPYp9im2Ycg?=</f>
        <v/>
      </c>
      <c r="D1186" s="2" t="inlineStr">
        <is>
          <t>﻿ Hello! How can we help you?  Report وزباله و بنت تسال و تشرد : 65691000   ‫أُرسلت من الـ iPhone‬</t>
        </is>
      </c>
      <c r="E1186" s="4" t="inlineStr">
        <is>
          <t>65691000</t>
        </is>
      </c>
    </row>
    <row r="1187" ht="18" customHeight="1">
      <c r="A1187" s="5" t="inlineStr">
        <is>
          <t>Hn An &lt;aeaxn.22@gmail.com&gt;</t>
        </is>
      </c>
      <c r="B1187" s="6" t="inlineStr">
        <is>
          <t>aeaxn.22@gmail.com</t>
        </is>
      </c>
      <c r="C1187" s="5">
        <f>?utf-8?B?2KfZhNiz2YTYp9mFINi52YTZitmD2YUg2YXZhdmD2YYg2YXYs9it?=  =?utf-8?B?INin2KfZhNin2LPYp9im2Ycg?=</f>
        <v/>
      </c>
      <c r="D1187" s="5" t="inlineStr">
        <is>
          <t>﻿ Hello! How can we help you?  Report وزباله و بنت تسال و تشرد : 65691000   ‫أُرسلت من الـ iPhone‬</t>
        </is>
      </c>
      <c r="E1187" s="7" t="inlineStr">
        <is>
          <t>65691000</t>
        </is>
      </c>
    </row>
    <row r="1188" ht="18" customHeight="1">
      <c r="A1188" s="2" t="inlineStr">
        <is>
          <t>Hn An &lt;aeaxn.22@gmail.com&gt;</t>
        </is>
      </c>
      <c r="B1188" s="3" t="inlineStr">
        <is>
          <t>aeaxn.22@gmail.com</t>
        </is>
      </c>
      <c r="C1188" s="2">
        <f>?utf-8?B?2KfZhNiz2YTYp9mFINi52YTZitmD2YUg2YXZhdmD2YYg2YXYs9it?=  =?utf-8?B?INin2KfZhNin2LPYp9im2Ycg?=</f>
        <v/>
      </c>
      <c r="D1188" s="2" t="inlineStr">
        <is>
          <t>﻿ Hello! How can we help you?  Report وزباله و بنت تسال و تشرد : 65691000   ‫أُرسلت من الـ iPhone‬</t>
        </is>
      </c>
      <c r="E1188" s="4" t="inlineStr">
        <is>
          <t>65691000</t>
        </is>
      </c>
    </row>
    <row r="1189" ht="18" customHeight="1">
      <c r="A1189" s="5" t="inlineStr">
        <is>
          <t>Hn An &lt;aeaxn.22@gmail.com&gt;</t>
        </is>
      </c>
      <c r="B1189" s="6" t="inlineStr">
        <is>
          <t>aeaxn.22@gmail.com</t>
        </is>
      </c>
      <c r="C1189" s="5">
        <f>?utf-8?B?2KfZhNiz2YTYp9mFINi52YTZitmD2YUg2YXZhdmD2YYg2YXYs9it?=  =?utf-8?B?INin2KfZhNin2LPYp9im2Ycg?=</f>
        <v/>
      </c>
      <c r="D1189" s="5" t="inlineStr">
        <is>
          <t>﻿ Hello! How can we help you?  Report وزباله و بنت تسال و تشرد : 65691000   ‫أُرسلت من الـ iPhone‬</t>
        </is>
      </c>
      <c r="E1189" s="7" t="inlineStr">
        <is>
          <t>65691000</t>
        </is>
      </c>
    </row>
    <row r="1190" ht="18" customHeight="1">
      <c r="A1190" s="2" t="inlineStr">
        <is>
          <t>Hn An &lt;aeaxn.22@gmail.com&gt;</t>
        </is>
      </c>
      <c r="B1190" s="3" t="inlineStr">
        <is>
          <t>aeaxn.22@gmail.com</t>
        </is>
      </c>
      <c r="C1190" s="2">
        <f>?utf-8?B?2KfZhNiz2YTYp9mFINi52YTZitmD2YUg2YXZhdmD2YYg2YXYs9it?=  =?utf-8?B?INin2KfZhNin2LPYp9im2Ycg?=</f>
        <v/>
      </c>
      <c r="D1190" s="2" t="inlineStr">
        <is>
          <t>﻿ Hello! How can we help you?  Report وزباله و بنت تسال و تشرد : 65691000   ‫أُرسلت من الـ iPhone‬</t>
        </is>
      </c>
      <c r="E1190" s="4" t="inlineStr">
        <is>
          <t>65691000</t>
        </is>
      </c>
    </row>
    <row r="1191" ht="18" customHeight="1">
      <c r="A1191" s="5" t="inlineStr">
        <is>
          <t>Hn An &lt;aeaxn.22@gmail.com&gt;</t>
        </is>
      </c>
      <c r="B1191" s="6" t="inlineStr">
        <is>
          <t>aeaxn.22@gmail.com</t>
        </is>
      </c>
      <c r="C1191" s="5">
        <f>?utf-8?B?2KfZhNiz2YTYp9mFINi52YTZitmD2YUg2YXZhdmD2YYg2YXYs9it?=  =?utf-8?B?INin2KfZhNin2LPYp9im2Ycg?=</f>
        <v/>
      </c>
      <c r="D1191" s="5" t="inlineStr">
        <is>
          <t>﻿ Hello! How can we help you?  Report وزباله و بنت تسال و تشرد : 65691000   ‫أُرسلت من الـ iPhone‬</t>
        </is>
      </c>
      <c r="E1191" s="7" t="inlineStr">
        <is>
          <t>65691000</t>
        </is>
      </c>
    </row>
    <row r="1192" ht="18" customHeight="1">
      <c r="A1192" s="2" t="inlineStr">
        <is>
          <t>Hn An &lt;aeaxn.22@gmail.com&gt;</t>
        </is>
      </c>
      <c r="B1192" s="3" t="inlineStr">
        <is>
          <t>aeaxn.22@gmail.com</t>
        </is>
      </c>
      <c r="C1192" s="2">
        <f>?utf-8?B?2KfZhNiz2YTYp9mFINi52YTZitmD2YUg2YXZhdmD2YYg2YXYs9it?=  =?utf-8?B?INin2KfZhNin2LPYp9im2Ycg?=</f>
        <v/>
      </c>
      <c r="D1192" s="2" t="inlineStr">
        <is>
          <t>﻿ Hello! How can we help you?  Report وزباله و بنت تسال و تشرد : 65691000   ‫أُرسلت من الـ iPhone‬</t>
        </is>
      </c>
      <c r="E1192" s="4" t="inlineStr">
        <is>
          <t>65691000</t>
        </is>
      </c>
    </row>
    <row r="1193" ht="18" customHeight="1">
      <c r="A1193" s="5" t="inlineStr">
        <is>
          <t>Hn An &lt;aeaxn.22@gmail.com&gt;</t>
        </is>
      </c>
      <c r="B1193" s="6" t="inlineStr">
        <is>
          <t>aeaxn.22@gmail.com</t>
        </is>
      </c>
      <c r="C1193" s="5">
        <f>?utf-8?B?2KfZhNiz2YTYp9mFINi52YTZitmD2YUg2YXZhdmD2YYg2YXYs9it?=  =?utf-8?B?INin2KfZhNin2LPYp9im2Ycg?=</f>
        <v/>
      </c>
      <c r="D1193" s="5" t="inlineStr">
        <is>
          <t>﻿ Hello! How can we help you?  Report وزباله و بنت تسال و تشرد : 65691000   ‫أُرسلت من الـ iPhone‬</t>
        </is>
      </c>
      <c r="E1193" s="7" t="inlineStr">
        <is>
          <t>65691000</t>
        </is>
      </c>
    </row>
    <row r="1194" ht="18" customHeight="1">
      <c r="A1194" s="2" t="inlineStr">
        <is>
          <t>Hn An &lt;aeaxn.22@gmail.com&gt;</t>
        </is>
      </c>
      <c r="B1194" s="3" t="inlineStr">
        <is>
          <t>aeaxn.22@gmail.com</t>
        </is>
      </c>
      <c r="C1194" s="2">
        <f>?utf-8?B?2KfZhNiz2YTYp9mFINi52YTZitmD2YUg2YXZhdmD2YYg2YXYs9it?=  =?utf-8?B?INin2KfZhNin2LPYp9im2Ycg?=</f>
        <v/>
      </c>
      <c r="D1194" s="2" t="inlineStr">
        <is>
          <t>﻿ Hello! How can we help you?  Report وزباله و بنت تسال و تشرد : 65691000   ‫أُرسلت من الـ iPhone‬</t>
        </is>
      </c>
      <c r="E1194" s="4" t="inlineStr">
        <is>
          <t>65691000</t>
        </is>
      </c>
    </row>
    <row r="1195" ht="18" customHeight="1">
      <c r="A1195" s="5" t="inlineStr">
        <is>
          <t>Hn An &lt;aeaxn.22@gmail.com&gt;</t>
        </is>
      </c>
      <c r="B1195" s="6" t="inlineStr">
        <is>
          <t>aeaxn.22@gmail.com</t>
        </is>
      </c>
      <c r="C1195" s="5">
        <f>?utf-8?B?2KfZhNiz2YTYp9mFINi52YTZitmD2YUg2YXZhdmD2YYg2YXYs9it?=  =?utf-8?B?INin2KfZhNin2LPYp9im2Ycg?=</f>
        <v/>
      </c>
      <c r="D1195" s="5" t="inlineStr">
        <is>
          <t>﻿ Hello! How can we help you?  Report وزباله و بنت تسال و تشرد : 65691000   ‫أُرسلت من الـ iPhone‬</t>
        </is>
      </c>
      <c r="E1195" s="7" t="inlineStr">
        <is>
          <t>65691000</t>
        </is>
      </c>
    </row>
    <row r="1196" ht="18" customHeight="1">
      <c r="A1196" s="2" t="inlineStr">
        <is>
          <t>Hn An &lt;aeaxn.22@gmail.com&gt;</t>
        </is>
      </c>
      <c r="B1196" s="3" t="inlineStr">
        <is>
          <t>aeaxn.22@gmail.com</t>
        </is>
      </c>
      <c r="C1196" s="2">
        <f>?utf-8?B?2KfZhNiz2YTYp9mFINi52YTZitmD2YUg2YXZhdmD2YYg2YXYs9it?=  =?utf-8?B?INin2KfZhNin2LPYp9im2Ycg?=</f>
        <v/>
      </c>
      <c r="D1196" s="2" t="inlineStr">
        <is>
          <t>﻿ Hello! How can we help you?  Report وزباله و بنت تسال و تشرد : 65691000   ‫أُرسلت من الـ iPhone‬</t>
        </is>
      </c>
      <c r="E1196" s="4" t="inlineStr">
        <is>
          <t>65691000</t>
        </is>
      </c>
    </row>
    <row r="1197" ht="18" customHeight="1">
      <c r="A1197" s="5" t="inlineStr">
        <is>
          <t>Hn An &lt;aeaxn.22@gmail.com&gt;</t>
        </is>
      </c>
      <c r="B1197" s="6" t="inlineStr">
        <is>
          <t>aeaxn.22@gmail.com</t>
        </is>
      </c>
      <c r="C1197" s="5">
        <f>?utf-8?B?2KfZhNiz2YTYp9mFINi52YTZitmD2YUg2YXZhdmD2YYg2YXYs9it?=  =?utf-8?B?INin2KfZhNin2LPYp9im2Ycg?=</f>
        <v/>
      </c>
      <c r="D1197" s="5" t="inlineStr">
        <is>
          <t>﻿ Hello! How can we help you?  Report وزباله و بنت تسال و تشرد : 65691000   ‫أُرسلت من الـ iPhone‬</t>
        </is>
      </c>
      <c r="E1197" s="7" t="inlineStr">
        <is>
          <t>65691000</t>
        </is>
      </c>
    </row>
    <row r="1198" ht="18" customHeight="1">
      <c r="A1198" s="2" t="inlineStr">
        <is>
          <t>Hn An &lt;aeaxn.22@gmail.com&gt;</t>
        </is>
      </c>
      <c r="B1198" s="3" t="inlineStr">
        <is>
          <t>aeaxn.22@gmail.com</t>
        </is>
      </c>
      <c r="C1198" s="2">
        <f>?utf-8?B?2KfZhNiz2YTYp9mFINi52YTZitmD2YUg2YXZhdmD2YYg2YXYs9it?=  =?utf-8?B?INin2KfZhNin2LPYp9im2Ycg?=</f>
        <v/>
      </c>
      <c r="D1198" s="2" t="inlineStr">
        <is>
          <t>﻿ Hello! How can we help you?  Report وزباله و بنت تسال و تشرد : 65691000   ‫أُرسلت من الـ iPhone‬</t>
        </is>
      </c>
      <c r="E1198" s="4" t="inlineStr">
        <is>
          <t>65691000</t>
        </is>
      </c>
    </row>
    <row r="1199" ht="18" customHeight="1">
      <c r="A1199" s="5" t="inlineStr">
        <is>
          <t>Hn An &lt;aeaxn.22@gmail.com&gt;</t>
        </is>
      </c>
      <c r="B1199" s="6" t="inlineStr">
        <is>
          <t>aeaxn.22@gmail.com</t>
        </is>
      </c>
      <c r="C1199" s="5">
        <f>?utf-8?B?2KfZhNiz2YTYp9mFINi52YTZitmD2YUg2YXZhdmD2YYg2YXYs9it?=  =?utf-8?B?INin2KfZhNin2LPYp9im2Ycg?=</f>
        <v/>
      </c>
      <c r="D1199" s="5" t="inlineStr">
        <is>
          <t>﻿ Hello! How can we help you?  Report وزباله و بنت تسال و تشرد : 65691000   ‫أُرسلت من الـ iPhone‬</t>
        </is>
      </c>
      <c r="E1199" s="7" t="inlineStr">
        <is>
          <t>65691000</t>
        </is>
      </c>
    </row>
    <row r="1200" ht="18" customHeight="1">
      <c r="A1200" s="2" t="inlineStr">
        <is>
          <t>Hn An &lt;aeaxn.22@gmail.com&gt;</t>
        </is>
      </c>
      <c r="B1200" s="3" t="inlineStr">
        <is>
          <t>aeaxn.22@gmail.com</t>
        </is>
      </c>
      <c r="C1200" s="2">
        <f>?utf-8?B?2KfZhNiz2YTYp9mFINi52YTZitmD2YUg2YXZhdmD2YYg2YXYs9it?=  =?utf-8?B?INin2KfZhNin2LPYp9im2Ycg?=</f>
        <v/>
      </c>
      <c r="D1200" s="2" t="inlineStr">
        <is>
          <t>﻿ Hello! How can we help you?  Report وزباله و بنت تسال و تشرد : 65691000   ‫أُرسلت من الـ iPhone‬</t>
        </is>
      </c>
      <c r="E1200" s="4" t="inlineStr">
        <is>
          <t>65691000</t>
        </is>
      </c>
    </row>
    <row r="1201" ht="18" customHeight="1">
      <c r="A1201" s="5" t="inlineStr">
        <is>
          <t>Hn An &lt;aeaxn.22@gmail.com&gt;</t>
        </is>
      </c>
      <c r="B1201" s="6" t="inlineStr">
        <is>
          <t>aeaxn.22@gmail.com</t>
        </is>
      </c>
      <c r="C1201" s="5">
        <f>?utf-8?B?2KfZhNiz2YTYp9mFINi52YTZitmD2YUg2YXZhdmD2YYg2YXYs9it?=  =?utf-8?B?INin2KfZhNin2LPYp9im2Ycg?=</f>
        <v/>
      </c>
      <c r="D1201" s="5" t="inlineStr">
        <is>
          <t>﻿ Hello! How can we help you?  Report وزباله و بنت تسال و تشرد : 65691000   ‫أُرسلت من الـ iPhone‬</t>
        </is>
      </c>
      <c r="E1201" s="7" t="inlineStr">
        <is>
          <t>65691000</t>
        </is>
      </c>
    </row>
    <row r="1202" ht="18" customHeight="1">
      <c r="A1202" s="2" t="inlineStr">
        <is>
          <t>Hn An &lt;aeaxn.22@gmail.com&gt;</t>
        </is>
      </c>
      <c r="B1202" s="3" t="inlineStr">
        <is>
          <t>aeaxn.22@gmail.com</t>
        </is>
      </c>
      <c r="C1202" s="2">
        <f>?utf-8?B?2KfZhNiz2YTYp9mFINi52YTZitmD2YUg2YXZhdmD2YYg2YXYs9it?=  =?utf-8?B?INin2KfZhNin2LPYp9im2Ycg?=</f>
        <v/>
      </c>
      <c r="D1202" s="2" t="inlineStr">
        <is>
          <t>﻿ Hello! How can we help you?  Report وزباله و بنت تسال و تشرد : 65691000   ‫أُرسلت من الـ iPhone‬</t>
        </is>
      </c>
      <c r="E1202" s="4" t="inlineStr">
        <is>
          <t>65691000</t>
        </is>
      </c>
    </row>
    <row r="1203" ht="18" customHeight="1">
      <c r="A1203" s="5" t="inlineStr">
        <is>
          <t>Hn An &lt;aeaxn.22@gmail.com&gt;</t>
        </is>
      </c>
      <c r="B1203" s="6" t="inlineStr">
        <is>
          <t>aeaxn.22@gmail.com</t>
        </is>
      </c>
      <c r="C1203" s="5">
        <f>?utf-8?B?2KfZhNiz2YTYp9mFINi52YTZitmD2YUg2YXZhdmD2YYg2YXYs9it?=  =?utf-8?B?INin2KfZhNin2LPYp9im2Ycg?=</f>
        <v/>
      </c>
      <c r="D1203" s="5" t="inlineStr">
        <is>
          <t>﻿ Hello! How can we help you?  Report وزباله و بنت تسال و تشرد : 65691000   ‫أُرسلت من الـ iPhone‬</t>
        </is>
      </c>
      <c r="E1203" s="7" t="inlineStr">
        <is>
          <t>65691000</t>
        </is>
      </c>
    </row>
    <row r="1204" ht="18" customHeight="1">
      <c r="A1204" s="2" t="inlineStr">
        <is>
          <t>Hn An &lt;aeaxn.22@gmail.com&gt;</t>
        </is>
      </c>
      <c r="B1204" s="3" t="inlineStr">
        <is>
          <t>aeaxn.22@gmail.com</t>
        </is>
      </c>
      <c r="C1204" s="2">
        <f>?utf-8?B?2KfZhNiz2YTYp9mFINi52YTZitmD2YUg2YXZhdmD2YYg2YXYs9it?=  =?utf-8?B?INin2KfZhNin2LPYp9im2Ycg?=</f>
        <v/>
      </c>
      <c r="D1204" s="2" t="inlineStr">
        <is>
          <t>﻿ Hello! How can we help you?  Report وزباله و بنت تسال و تشرد : 65691000   ‫أُرسلت من الـ iPhone‬</t>
        </is>
      </c>
      <c r="E1204" s="4" t="inlineStr">
        <is>
          <t>65691000</t>
        </is>
      </c>
    </row>
    <row r="1205" ht="18" customHeight="1">
      <c r="A1205" s="5" t="inlineStr">
        <is>
          <t>Hn An &lt;aeaxn.22@gmail.com&gt;</t>
        </is>
      </c>
      <c r="B1205" s="6" t="inlineStr">
        <is>
          <t>aeaxn.22@gmail.com</t>
        </is>
      </c>
      <c r="C1205" s="5">
        <f>?utf-8?B?2KfZhNiz2YTYp9mFINi52YTZitmD2YUg2YXZhdmD2YYg2YXYs9it?=  =?utf-8?B?INin2KfZhNin2LPYp9im2Ycg?=</f>
        <v/>
      </c>
      <c r="D1205" s="5" t="inlineStr">
        <is>
          <t>Hello! How can we help you?  Report وزباله و بنت تسال و تشرد : 65691000   ‫أُرسلت من الـ iPhone‬</t>
        </is>
      </c>
      <c r="E1205" s="7" t="inlineStr">
        <is>
          <t>65691000</t>
        </is>
      </c>
    </row>
    <row r="1206" ht="18" customHeight="1">
      <c r="A1206" s="2" t="inlineStr">
        <is>
          <t>hamad alazmi &lt;hamad91q8@outlook.sa&gt;</t>
        </is>
      </c>
      <c r="B1206" s="3" t="inlineStr">
        <is>
          <t>hamad91q8@outlook.sa</t>
        </is>
      </c>
      <c r="C1206" s="2">
        <f>?utf-8?B?2YfYsNinINin2YTYp9iz2YUg2YrYttin2YrZgtmG2Yo=?=</f>
        <v/>
      </c>
      <c r="D1206" s="2" t="inlineStr">
        <is>
          <t xml:space="preserve">Hello! How can we help you?  Report راعي الجير تبع- : 50100441  ‫أُرسلت من الـ iPhone‬ </t>
        </is>
      </c>
      <c r="E1206" s="4" t="inlineStr">
        <is>
          <t>50100441</t>
        </is>
      </c>
    </row>
    <row r="1207" ht="18" customHeight="1">
      <c r="A1207" s="5" t="inlineStr">
        <is>
          <t>hamad alazmi &lt;hamad91q8@outlook.sa&gt;</t>
        </is>
      </c>
      <c r="B1207" s="6" t="inlineStr">
        <is>
          <t>hamad91q8@outlook.sa</t>
        </is>
      </c>
      <c r="C1207" s="5">
        <f>?utf-8?B?2YTYpyDYp9mF2YTZgyDZh9iw2Kcg2KfZhNin2LPZhQ==?=</f>
        <v/>
      </c>
      <c r="D1207" s="5" t="inlineStr">
        <is>
          <t xml:space="preserve">Hello! How can we help you?  Report ساعتين مزاد 2017 ب 15 : 50100441  ‫أُرسلت من الـ iPhone‬ </t>
        </is>
      </c>
      <c r="E1207" s="7" t="inlineStr">
        <is>
          <t>50100441</t>
        </is>
      </c>
    </row>
    <row r="1208" ht="18" customHeight="1">
      <c r="A1208" s="2" t="inlineStr">
        <is>
          <t>hamad alazmi &lt;hamad91q8@outlook.sa&gt;</t>
        </is>
      </c>
      <c r="B1208" s="3" t="inlineStr">
        <is>
          <t>hamad91q8@outlook.sa</t>
        </is>
      </c>
      <c r="C1208" s="2">
        <f>?utf-8?B?2KjYr9mI2YYg2YXYudmG2Kc=?=</f>
        <v/>
      </c>
      <c r="D1208" s="2" t="inlineStr">
        <is>
          <t xml:space="preserve">Hello! How can we help you?  Report رول18 : 50100441  ‫أُرسلت من الـ iPhone‬ </t>
        </is>
      </c>
      <c r="E1208" s="4" t="inlineStr">
        <is>
          <t>50100441</t>
        </is>
      </c>
    </row>
    <row r="1209" ht="18" customHeight="1">
      <c r="A1209" s="5" t="inlineStr">
        <is>
          <t>hamad alazmi &lt;hamad91q8@outlook.sa&gt;</t>
        </is>
      </c>
      <c r="B1209" s="6" t="inlineStr">
        <is>
          <t>hamad91q8@outlook.sa</t>
        </is>
      </c>
      <c r="C1209" s="5">
        <f>?utf-8?B?2YfYsNinINin2YTYp9iz2YUg2YTYpyDYqNmG2KrYs9ioINmE2Yo=?=</f>
        <v/>
      </c>
      <c r="D1209" s="5" t="inlineStr">
        <is>
          <t xml:space="preserve">Hello! How can we help you?  Report Abdul Rahman 289 Male 425 : 50100441  ‫أُرسلت من الـ iPhone‬ </t>
        </is>
      </c>
      <c r="E1209" s="7" t="inlineStr">
        <is>
          <t>50100441</t>
        </is>
      </c>
    </row>
    <row r="1210" ht="18" customHeight="1">
      <c r="A1210" s="2" t="inlineStr">
        <is>
          <t>hamad alazmi &lt;hamad91q8@outlook.sa&gt;</t>
        </is>
      </c>
      <c r="B1210" s="3" t="inlineStr">
        <is>
          <t>hamad91q8@outlook.sa</t>
        </is>
      </c>
      <c r="C1210" s="2">
        <f>?utf-8?B?2YfYsNinINin2YTYp9iy2YUg2YTYpyDZitmG2KrYs9ioINmE2Yo=?=</f>
        <v/>
      </c>
      <c r="D1210" s="2" t="inlineStr">
        <is>
          <t xml:space="preserve">Hello! How can we help you?  Report العزيمي مقاس 41 ب 21 : 50100441  ‫أُرسلت من الـ iPhone‬ </t>
        </is>
      </c>
      <c r="E1210" s="4" t="inlineStr">
        <is>
          <t>50100441</t>
        </is>
      </c>
    </row>
    <row r="1211" ht="18" customHeight="1">
      <c r="A1211" s="5" t="inlineStr">
        <is>
          <t>maali alshrifi &lt;maalialshrifi@yahoo.com&gt;</t>
        </is>
      </c>
      <c r="B1211" s="6" t="inlineStr">
        <is>
          <t>maalialshrifi@yahoo.com</t>
        </is>
      </c>
      <c r="C1211" s="5" t="inlineStr">
        <is>
          <t xml:space="preserve">Re: </t>
        </is>
      </c>
      <c r="D1211" s="5" t="inlineStr">
        <is>
          <t xml:space="preserve"> Sent from my iPhone  &gt; On 10 Oct 2025, at 23:36, maali alshrifi &lt;maalialshrifi@yahoo.com&gt; wrote: &gt;  &gt; ﻿ &gt; Hello! How can we help you? &gt;  &gt; Report ز ام ضاري العارضيه ق4 ش2 م8 : 66176361 &gt;  &gt;  &gt; Sent from my iPhone &gt;  &gt; الرجاء حذف العنوان للخصوصيه  </t>
        </is>
      </c>
      <c r="E1211" s="7" t="inlineStr">
        <is>
          <t>66176361</t>
        </is>
      </c>
    </row>
    <row r="1212" ht="18" customHeight="1">
      <c r="A1212" s="2" t="inlineStr">
        <is>
          <t>"abood.alhrbi i" &lt;3boodq85550@gmail.com&gt;</t>
        </is>
      </c>
      <c r="B1212" s="3" t="inlineStr">
        <is>
          <t>3boodq85550@gmail.com</t>
        </is>
      </c>
      <c r="C1212" s="2">
        <f>?utf-8?B?2KfYs9in2KHZhw==?=</f>
        <v/>
      </c>
      <c r="D1212" s="2" t="inlineStr">
        <is>
          <t>Hello! How can we help you?  Report حمير : 51756156   ‫أُرسلت من الـ</t>
        </is>
      </c>
      <c r="E1212" s="4" t="inlineStr">
        <is>
          <t>51756156</t>
        </is>
      </c>
    </row>
    <row r="1213" ht="18" customHeight="1">
      <c r="A1213" s="5" t="inlineStr">
        <is>
          <t>Asmaa Kw &lt;asmaa2488@gmail.com&gt;</t>
        </is>
      </c>
      <c r="B1213" s="6" t="inlineStr">
        <is>
          <t>asmaa2488@gmail.com</t>
        </is>
      </c>
      <c r="C1213" s="5" t="inlineStr">
        <is>
          <t>Report</t>
        </is>
      </c>
      <c r="D1213" s="5" t="inlineStr">
        <is>
          <t>Hello! How can we help you?  Report ابوسعود : 50115088   Sent from my iPhone</t>
        </is>
      </c>
      <c r="E1213" s="7" t="inlineStr">
        <is>
          <t>50115088</t>
        </is>
      </c>
    </row>
    <row r="1214" ht="18" customHeight="1">
      <c r="A1214" s="2" t="inlineStr">
        <is>
          <t>zainab adel &lt;z.adelhjh@gmail.com&gt;</t>
        </is>
      </c>
      <c r="B1214" s="3" t="inlineStr">
        <is>
          <t>z.adelhjh@gmail.com</t>
        </is>
      </c>
      <c r="C1214" s="2" t="inlineStr">
        <is>
          <t>Request immediate removal of offensive content.</t>
        </is>
      </c>
      <c r="D1214" s="2" t="inlineStr">
        <is>
          <t xml:space="preserve">To whom it may concern.  I am a lawyer, and I’ve identified a name on your app that contains defamatory and insulting content toward me and the firm I am working at. I respectfully request that it be removed immediately to prevent any further reputational or legal concerns.  My number is: 00965 98776464.  The name I would like you to remove is: My lesbian.  And if you see another inappropriate name I would like you to remove it too please.  Please confirm once this has been resolved.  kind regards,  Zainab Adel </t>
        </is>
      </c>
      <c r="E1214" s="4" t="inlineStr">
        <is>
          <t>98776464</t>
        </is>
      </c>
    </row>
    <row r="1215" ht="18" customHeight="1">
      <c r="A1215" s="5" t="inlineStr">
        <is>
          <t>salem alajmi &lt;salemm_skehdob@icloud.com&gt;</t>
        </is>
      </c>
      <c r="B1215" s="6" t="inlineStr">
        <is>
          <t>salemm_skehdob@icloud.com</t>
        </is>
      </c>
      <c r="C1215" s="5">
        <f>?utf-8?B?2KfYs9mFINiu2LfYpg==?=</f>
        <v/>
      </c>
      <c r="D1215" s="5" t="inlineStr">
        <is>
          <t>Hello! How can we help you?  Report ام عامر مبارك الكبير ق 4 ش 38 م 4 : 51616989   ‫أُرسلت من الـ iPhone‬</t>
        </is>
      </c>
      <c r="E1215" s="7" t="inlineStr">
        <is>
          <t>51616989</t>
        </is>
      </c>
    </row>
    <row r="1216" ht="18" customHeight="1">
      <c r="A1216" s="2" t="inlineStr">
        <is>
          <t>kuw1255@icloud.com</t>
        </is>
      </c>
      <c r="B1216" s="3" t="inlineStr">
        <is>
          <t>kuw1255@icloud.com</t>
        </is>
      </c>
      <c r="C1216" s="2">
        <f>?utf-8?B?2KrYqNmE2YrYuiDYudmGINin2LPZhSDYrNmG2YrYqiDZh9mI2YU=?=  =?utf-8?B?2LE=?=</f>
        <v/>
      </c>
      <c r="D1216" s="2" t="inlineStr">
        <is>
          <t>Hello! How can we help you?  Report جنيت-هومر : 66799131   ‫أُرسلت من الـ iPhone‬</t>
        </is>
      </c>
      <c r="E1216" s="4" t="inlineStr">
        <is>
          <t>66799131</t>
        </is>
      </c>
    </row>
    <row r="1217" ht="18" customHeight="1">
      <c r="A1217" s="5" t="inlineStr">
        <is>
          <t>Anoud Alotaibi &lt;anoudalhabbai2@icloud.com&gt;</t>
        </is>
      </c>
      <c r="B1217" s="6" t="inlineStr">
        <is>
          <t>anoudalhabbai2@icloud.com</t>
        </is>
      </c>
      <c r="C1217" s="5" t="inlineStr"/>
      <c r="D1217" s="5" t="inlineStr">
        <is>
          <t>Hello! How can we help you?  Report شاليهات الوطنيه : 50002055   Sent from my iPhone</t>
        </is>
      </c>
      <c r="E1217" s="7" t="inlineStr">
        <is>
          <t>50002055</t>
        </is>
      </c>
    </row>
    <row r="1218" ht="18" customHeight="1">
      <c r="A1218" s="2" t="inlineStr">
        <is>
          <t>Anoud Alotaibi &lt;anoudalhabbai2@icloud.com&gt;</t>
        </is>
      </c>
      <c r="B1218" s="3" t="inlineStr">
        <is>
          <t>anoudalhabbai2@icloud.com</t>
        </is>
      </c>
      <c r="C1218" s="2" t="inlineStr"/>
      <c r="D1218" s="2" t="inlineStr">
        <is>
          <t>Hello! How can we help you?  Report شاليه وطنيه : 50002055   Sent from my iPhone</t>
        </is>
      </c>
      <c r="E1218" s="4" t="inlineStr">
        <is>
          <t>50002055</t>
        </is>
      </c>
    </row>
    <row r="1219" ht="18" customHeight="1">
      <c r="A1219" s="5" t="inlineStr">
        <is>
          <t>Anoud Alotaibi &lt;anoudalhabbai2@icloud.com&gt;</t>
        </is>
      </c>
      <c r="B1219" s="6" t="inlineStr">
        <is>
          <t>anoudalhabbai2@icloud.com</t>
        </is>
      </c>
      <c r="C1219" s="5" t="inlineStr"/>
      <c r="D1219" s="5" t="inlineStr">
        <is>
          <t>Hello! How can we help you?  Report عزيز ابو سعود شيشه : 50002055   Sent from my iPhone</t>
        </is>
      </c>
      <c r="E1219" s="7" t="inlineStr">
        <is>
          <t>50002055</t>
        </is>
      </c>
    </row>
    <row r="1220" ht="18" customHeight="1">
      <c r="A1220" s="2" t="inlineStr">
        <is>
          <t>Anoud Alotaibi &lt;anoudalhabbai2@icloud.com&gt;</t>
        </is>
      </c>
      <c r="B1220" s="3" t="inlineStr">
        <is>
          <t>anoudalhabbai2@icloud.com</t>
        </is>
      </c>
      <c r="C1220" s="2" t="inlineStr"/>
      <c r="D1220" s="2" t="inlineStr">
        <is>
          <t>Hello! How can we help you?  Report عزووز 2 : 50002055   Sent from my iPhone</t>
        </is>
      </c>
      <c r="E1220" s="4" t="inlineStr">
        <is>
          <t>50002055</t>
        </is>
      </c>
    </row>
    <row r="1221" ht="18" customHeight="1">
      <c r="A1221" s="5" t="inlineStr">
        <is>
          <t>Anoud Alotaibi &lt;anoudalhabbai2@icloud.com&gt;</t>
        </is>
      </c>
      <c r="B1221" s="6" t="inlineStr">
        <is>
          <t>anoudalhabbai2@icloud.com</t>
        </is>
      </c>
      <c r="C1221" s="5" t="inlineStr"/>
      <c r="D1221" s="5" t="inlineStr">
        <is>
          <t>Hello! How can we help you?  Report الووطنية** : 50002055   Sent from my iPhone</t>
        </is>
      </c>
      <c r="E1221" s="7" t="inlineStr">
        <is>
          <t>50002055</t>
        </is>
      </c>
    </row>
    <row r="1222" ht="18" customHeight="1">
      <c r="A1222" s="2" t="inlineStr">
        <is>
          <t>Anoud Alotaibi &lt;anoudalhabbai2@icloud.com&gt;</t>
        </is>
      </c>
      <c r="B1222" s="3" t="inlineStr">
        <is>
          <t>anoudalhabbai2@icloud.com</t>
        </is>
      </c>
      <c r="C1222" s="2" t="inlineStr"/>
      <c r="D1222" s="2" t="inlineStr">
        <is>
          <t>Hello! How can we help you?  Report ابو يوسف : 50002055   Sent from my iPhone</t>
        </is>
      </c>
      <c r="E1222" s="4" t="inlineStr">
        <is>
          <t>50002055</t>
        </is>
      </c>
    </row>
    <row r="1223" ht="18" customHeight="1">
      <c r="A1223" s="5" t="inlineStr">
        <is>
          <t>Anoud Alotaibi &lt;anoudalhabbai2@icloud.com&gt;</t>
        </is>
      </c>
      <c r="B1223" s="6" t="inlineStr">
        <is>
          <t>anoudalhabbai2@icloud.com</t>
        </is>
      </c>
      <c r="C1223" s="5" t="inlineStr"/>
      <c r="D1223" s="5" t="inlineStr">
        <is>
          <t>Hello! How can we help you?  Report ابويوسف2 : 50002055   Sent from my iPhone</t>
        </is>
      </c>
      <c r="E1223" s="7" t="inlineStr">
        <is>
          <t>50002055</t>
        </is>
      </c>
    </row>
    <row r="1224" ht="18" customHeight="1">
      <c r="A1224" s="2" t="inlineStr">
        <is>
          <t>Anoud Alotaibi &lt;anoudalhabbai2@icloud.com&gt;</t>
        </is>
      </c>
      <c r="B1224" s="3" t="inlineStr">
        <is>
          <t>anoudalhabbai2@icloud.com</t>
        </is>
      </c>
      <c r="C1224" s="2" t="inlineStr"/>
      <c r="D1224" s="2" t="inlineStr">
        <is>
          <t>Hello! How can we help you?  Report ابويوسف2 : 50002055   Sent from my iPhone</t>
        </is>
      </c>
      <c r="E1224" s="4" t="inlineStr">
        <is>
          <t>50002055</t>
        </is>
      </c>
    </row>
    <row r="1225" ht="18" customHeight="1">
      <c r="A1225" s="5" t="inlineStr">
        <is>
          <t>Anoud Alotaibi &lt;anoudalhabbai2@icloud.com&gt;</t>
        </is>
      </c>
      <c r="B1225" s="6" t="inlineStr">
        <is>
          <t>anoudalhabbai2@icloud.com</t>
        </is>
      </c>
      <c r="C1225" s="5" t="inlineStr"/>
      <c r="D1225" s="5" t="inlineStr">
        <is>
          <t>Hello! How can we help you?  Report الهاتف 2 : 50002055   Sent from my iPhone</t>
        </is>
      </c>
      <c r="E1225" s="7" t="inlineStr">
        <is>
          <t>50002055</t>
        </is>
      </c>
    </row>
    <row r="1226" ht="18" customHeight="1">
      <c r="A1226" s="2" t="inlineStr">
        <is>
          <t>Anoud Alotaibi &lt;anoudalhabbai2@icloud.com&gt;</t>
        </is>
      </c>
      <c r="B1226" s="3" t="inlineStr">
        <is>
          <t>anoudalhabbai2@icloud.com</t>
        </is>
      </c>
      <c r="C1226" s="2" t="inlineStr"/>
      <c r="D1226" s="2" t="inlineStr">
        <is>
          <t>Hello! How can we help you?  Report عبد العزيز......... : 50002055   Sent from my iPhone</t>
        </is>
      </c>
      <c r="E1226" s="4" t="inlineStr">
        <is>
          <t>50002055</t>
        </is>
      </c>
    </row>
    <row r="1227" ht="18" customHeight="1">
      <c r="A1227" s="5" t="inlineStr">
        <is>
          <t>Anoud Alotaibi &lt;anoudalhabbai2@icloud.com&gt;</t>
        </is>
      </c>
      <c r="B1227" s="6" t="inlineStr">
        <is>
          <t>anoudalhabbai2@icloud.com</t>
        </is>
      </c>
      <c r="C1227" s="5" t="inlineStr"/>
      <c r="D1227" s="5" t="inlineStr">
        <is>
          <t>Hello! How can we help you?  Report عبدالعزيز الشمري/المحمد : 50002055   Sent from my iPhone</t>
        </is>
      </c>
      <c r="E1227" s="7" t="inlineStr">
        <is>
          <t>50002055</t>
        </is>
      </c>
    </row>
    <row r="1228" ht="18" customHeight="1">
      <c r="A1228" s="2" t="inlineStr">
        <is>
          <t>Anoud Alotaibi &lt;anoudalhabbai2@icloud.com&gt;</t>
        </is>
      </c>
      <c r="B1228" s="3" t="inlineStr">
        <is>
          <t>anoudalhabbai2@icloud.com</t>
        </is>
      </c>
      <c r="C1228" s="2" t="inlineStr"/>
      <c r="D1228" s="2" t="inlineStr">
        <is>
          <t>Hello! How can we help you?  Report عزيز قعيد 2 : 50002055   Sent from my iPhone</t>
        </is>
      </c>
      <c r="E1228" s="4" t="inlineStr">
        <is>
          <t>50002055</t>
        </is>
      </c>
    </row>
    <row r="1229" ht="18" customHeight="1">
      <c r="A1229" s="5" t="inlineStr">
        <is>
          <t>Anoud Alotaibi &lt;anoudalhabbai2@icloud.com&gt;</t>
        </is>
      </c>
      <c r="B1229" s="6" t="inlineStr">
        <is>
          <t>anoudalhabbai2@icloud.com</t>
        </is>
      </c>
      <c r="C1229" s="5" t="inlineStr"/>
      <c r="D1229" s="5" t="inlineStr">
        <is>
          <t>Hello! How can we help you?  Report عبدالعزيز سعود قعيد : 50002055   Sent from my iPhone</t>
        </is>
      </c>
      <c r="E1229" s="7" t="inlineStr">
        <is>
          <t>50002055</t>
        </is>
      </c>
    </row>
    <row r="1230" ht="18" customHeight="1">
      <c r="A1230" s="2" t="inlineStr">
        <is>
          <t>Anoud Alotaibi &lt;anoudalhabbai2@icloud.com&gt;</t>
        </is>
      </c>
      <c r="B1230" s="3" t="inlineStr">
        <is>
          <t>anoudalhabbai2@icloud.com</t>
        </is>
      </c>
      <c r="C1230" s="2" t="inlineStr"/>
      <c r="D1230" s="2" t="inlineStr">
        <is>
          <t>Hello! How can we help you?  Report عبدالعزيز الخلف الشمري جميرا : 50002055   Sent from my iPhone</t>
        </is>
      </c>
      <c r="E1230" s="4" t="inlineStr">
        <is>
          <t>50002055</t>
        </is>
      </c>
    </row>
    <row r="1231" ht="18" customHeight="1">
      <c r="A1231" s="5" t="inlineStr">
        <is>
          <t>Anoud Alotaibi &lt;anoudalhabbai2@icloud.com&gt;</t>
        </is>
      </c>
      <c r="B1231" s="6" t="inlineStr">
        <is>
          <t>anoudalhabbai2@icloud.com</t>
        </is>
      </c>
      <c r="C1231" s="5" t="inlineStr"/>
      <c r="D1231" s="5" t="inlineStr">
        <is>
          <t>Hello! How can we help you?  Report عبدالعزيز عقارات : 50002055   Sent from my iPhone</t>
        </is>
      </c>
      <c r="E1231" s="7" t="inlineStr">
        <is>
          <t>50002055</t>
        </is>
      </c>
    </row>
    <row r="1232" ht="18" customHeight="1">
      <c r="A1232" s="2" t="inlineStr">
        <is>
          <t>Anoud Alotaibi &lt;anoudalhabbai2@icloud.com&gt;</t>
        </is>
      </c>
      <c r="B1232" s="3" t="inlineStr">
        <is>
          <t>anoudalhabbai2@icloud.com</t>
        </is>
      </c>
      <c r="C1232" s="2" t="inlineStr"/>
      <c r="D1232" s="2" t="inlineStr">
        <is>
          <t>Hello! How can we help you?  Report عبدالعزيز عقار : 50002055   Sent from my iPhone</t>
        </is>
      </c>
      <c r="E1232" s="4" t="inlineStr">
        <is>
          <t>50002055</t>
        </is>
      </c>
    </row>
    <row r="1233" ht="18" customHeight="1">
      <c r="A1233" s="5" t="inlineStr">
        <is>
          <t>Anoud Alotaibi &lt;anoudalhabbai2@icloud.com&gt;</t>
        </is>
      </c>
      <c r="B1233" s="6" t="inlineStr">
        <is>
          <t>anoudalhabbai2@icloud.com</t>
        </is>
      </c>
      <c r="C1233" s="5" t="inlineStr"/>
      <c r="D1233" s="5" t="inlineStr">
        <is>
          <t>Hello! How can we help you?  Report شاليه صح : 50002055   Sent from my iPhone</t>
        </is>
      </c>
      <c r="E1233" s="7" t="inlineStr">
        <is>
          <t>50002055</t>
        </is>
      </c>
    </row>
    <row r="1234" ht="18" customHeight="1">
      <c r="A1234" s="2" t="inlineStr">
        <is>
          <t>Anoud Alotaibi &lt;anoudalhabbai2@icloud.com&gt;</t>
        </is>
      </c>
      <c r="B1234" s="3" t="inlineStr">
        <is>
          <t>anoudalhabbai2@icloud.com</t>
        </is>
      </c>
      <c r="C1234" s="2" t="inlineStr"/>
      <c r="D1234" s="2" t="inlineStr">
        <is>
          <t>Hello! How can we help you?  Report عبدالعزيز الخلف الشمري جميرا : 50002055   Sent from my iPhone</t>
        </is>
      </c>
      <c r="E1234" s="4" t="inlineStr">
        <is>
          <t>50002055</t>
        </is>
      </c>
    </row>
    <row r="1235" ht="18" customHeight="1">
      <c r="A1235" s="5" t="inlineStr">
        <is>
          <t>Noura Aljameely &lt;nouraaljameely7@icloud.com&gt;</t>
        </is>
      </c>
      <c r="B1235" s="6" t="inlineStr">
        <is>
          <t>nouraaljameely7@icloud.com</t>
        </is>
      </c>
      <c r="C1235" s="5" t="inlineStr"/>
      <c r="D1235" s="5" t="inlineStr">
        <is>
          <t>Hello! How can we help you?  Report تاجر إيطاليا : 99751859   ‫أُرسلت من الـ iPhone‬</t>
        </is>
      </c>
      <c r="E1235" s="7" t="inlineStr">
        <is>
          <t>99751859</t>
        </is>
      </c>
    </row>
    <row r="1236" ht="18" customHeight="1">
      <c r="A1236" s="2" t="inlineStr">
        <is>
          <t>Noura Aljameely &lt;nouraaljameely7@icloud.com&gt;</t>
        </is>
      </c>
      <c r="B1236" s="3" t="inlineStr">
        <is>
          <t>nouraaljameely7@icloud.com</t>
        </is>
      </c>
      <c r="C1236" s="2" t="inlineStr"/>
      <c r="D1236" s="2" t="inlineStr">
        <is>
          <t>Hello! How can we help you?  Report Mr 59m : 99751859   ‫أُرسلت من الـ iPhone‬</t>
        </is>
      </c>
      <c r="E1236" s="4" t="inlineStr">
        <is>
          <t>99751859</t>
        </is>
      </c>
    </row>
    <row r="1237" ht="18" customHeight="1">
      <c r="A1237" s="5" t="inlineStr">
        <is>
          <t>Noura Aljameely &lt;nouraaljameely7@icloud.com&gt;</t>
        </is>
      </c>
      <c r="B1237" s="6" t="inlineStr">
        <is>
          <t>nouraaljameely7@icloud.com</t>
        </is>
      </c>
      <c r="C1237" s="5" t="inlineStr"/>
      <c r="D1237" s="5" t="inlineStr">
        <is>
          <t>Hello! How can we help you?  Report اخت مستر خصم : 99751859   ‫أُرسلت من الـ iPhone‬</t>
        </is>
      </c>
      <c r="E1237" s="7" t="inlineStr">
        <is>
          <t>99751859</t>
        </is>
      </c>
    </row>
    <row r="1238" ht="18" customHeight="1">
      <c r="A1238" s="2" t="inlineStr">
        <is>
          <t>Noura Aljameely &lt;nouraaljameely7@icloud.com&gt;</t>
        </is>
      </c>
      <c r="B1238" s="3" t="inlineStr">
        <is>
          <t>nouraaljameely7@icloud.com</t>
        </is>
      </c>
      <c r="C1238" s="2" t="inlineStr"/>
      <c r="D1238" s="2" t="inlineStr">
        <is>
          <t>Hello! How can we help you?  Report مستر خصمم : 99751859   ‫أُرسلت من الـ iPhone‬</t>
        </is>
      </c>
      <c r="E1238" s="4" t="inlineStr">
        <is>
          <t>99751859</t>
        </is>
      </c>
    </row>
    <row r="1239" ht="18" customHeight="1">
      <c r="A1239" s="5" t="inlineStr">
        <is>
          <t>Ana Me &lt;a7ebny@gmail.com&gt;</t>
        </is>
      </c>
      <c r="B1239" s="6" t="inlineStr">
        <is>
          <t>a7ebny@gmail.com</t>
        </is>
      </c>
      <c r="C1239" s="5">
        <f>?UTF-8?B?UmU6INiq2YUg2K3YrNioINin2YTYsdmC2YUg2KfZhNmF2LfZhNmI2Kg=?=</f>
        <v/>
      </c>
      <c r="D1239" s="5" t="inlineStr">
        <is>
          <t xml:space="preserve">يا ويلكم ان شاء الله    On Thu, 9 Oct 2025, 7:04 am Ana Me, &lt;a7ebny@gmail.com&gt; wrote:  &gt; ليلحين يطلع &gt; &gt; On Wed, 8 Oct 2025, 9:21 pm تطبيق منو داق, &lt;sales@menodag.com&gt; wrote: &gt; &gt;&gt; &gt;&gt; </t>
        </is>
      </c>
      <c r="E1239" s="7" t="inlineStr"/>
    </row>
    <row r="1240" ht="18" customHeight="1">
      <c r="A1240" s="2" t="inlineStr">
        <is>
          <t>Maali Maali &lt;historeyya@hotmail.com&gt;</t>
        </is>
      </c>
      <c r="B1240" s="3" t="inlineStr">
        <is>
          <t>historeyya@hotmail.com</t>
        </is>
      </c>
      <c r="C1240" s="2">
        <f>?utf-8?B?2LnZhtmI2KfZhiDYp9mE2YXZhtiy2YQg2YPYp9mF2YQgISEhIQ==?=</f>
        <v/>
      </c>
      <c r="D1240" s="2" t="inlineStr">
        <is>
          <t xml:space="preserve">Hello! How can we help you?  Report ضاحية عبدالله المبارك (غرب الجليب) قطعة 9 شارع-منز : 99446106  ‫أُرسلت من الـ iPhone‬ </t>
        </is>
      </c>
      <c r="E1240" s="4" t="inlineStr">
        <is>
          <t>99446106</t>
        </is>
      </c>
    </row>
    <row r="1241" ht="18" customHeight="1">
      <c r="A1241" s="5" t="inlineStr">
        <is>
          <t>noura77_q8@icloud.com</t>
        </is>
      </c>
      <c r="B1241" s="6" t="inlineStr">
        <is>
          <t>noura77_q8@icloud.com</t>
        </is>
      </c>
      <c r="C1241" s="5">
        <f>?utf-8?B?2KjZhNin2LrYp9iqINmF2LLYudis2Kk=?=</f>
        <v/>
      </c>
      <c r="D1241" s="5" t="inlineStr">
        <is>
          <t>Hello! How can we help you?  Report Raju Pentar : 65187297   ‫أُرسلت من الـ iPhone‬</t>
        </is>
      </c>
      <c r="E1241" s="7" t="inlineStr">
        <is>
          <t>65187297</t>
        </is>
      </c>
    </row>
    <row r="1242" ht="18" customHeight="1">
      <c r="A1242" s="2" t="inlineStr">
        <is>
          <t>maha q8 &lt;mahoyaq8@hotmail.com&gt;</t>
        </is>
      </c>
      <c r="B1242" s="3" t="inlineStr">
        <is>
          <t>mahoyaq8@hotmail.com</t>
        </is>
      </c>
      <c r="C1242" s="2" t="inlineStr">
        <is>
          <t xml:space="preserve">remove this </t>
        </is>
      </c>
      <c r="D1242" s="2" t="inlineStr">
        <is>
          <t xml:space="preserve">Hello! How can we help you?  Report ابوحمد راعى ارض العقيله : 99855110  Sent from my iPhone </t>
        </is>
      </c>
      <c r="E1242" s="4" t="inlineStr">
        <is>
          <t>99855110</t>
        </is>
      </c>
    </row>
    <row r="1243" ht="18" customHeight="1">
      <c r="A1243" s="5" t="inlineStr">
        <is>
          <t>maha q8 &lt;mahoyaq8@hotmail.com&gt;</t>
        </is>
      </c>
      <c r="B1243" s="6" t="inlineStr">
        <is>
          <t>mahoyaq8@hotmail.com</t>
        </is>
      </c>
      <c r="C1243" s="5" t="inlineStr">
        <is>
          <t xml:space="preserve">remove this </t>
        </is>
      </c>
      <c r="D1243" s="5" t="inlineStr">
        <is>
          <t xml:space="preserve">Hello! How can we help you?  Report ابوحمد صاحب ارض العقيلة ق2 قسيمة 339 على السوم مقا : 99855110  Sent from my iPhone </t>
        </is>
      </c>
      <c r="E1243" s="7" t="inlineStr">
        <is>
          <t>99855110</t>
        </is>
      </c>
    </row>
    <row r="1244" ht="18" customHeight="1">
      <c r="A1244" s="2" t="inlineStr">
        <is>
          <t>maha q8 &lt;mahoyaq8@hotmail.com&gt;</t>
        </is>
      </c>
      <c r="B1244" s="3" t="inlineStr">
        <is>
          <t>mahoyaq8@hotmail.com</t>
        </is>
      </c>
      <c r="C1244" s="2" t="inlineStr">
        <is>
          <t xml:space="preserve">remove this </t>
        </is>
      </c>
      <c r="D1244" s="2" t="inlineStr">
        <is>
          <t xml:space="preserve">Hello! How can we help you?  Report ارض العقيله - : 99855110  Sent from my iPhone </t>
        </is>
      </c>
      <c r="E1244" s="4" t="inlineStr">
        <is>
          <t>99855110</t>
        </is>
      </c>
    </row>
    <row r="1245" ht="18" customHeight="1">
      <c r="A1245" s="5" t="inlineStr">
        <is>
          <t>maha q8 &lt;mahoyaq8@hotmail.com&gt;</t>
        </is>
      </c>
      <c r="B1245" s="6" t="inlineStr">
        <is>
          <t>mahoyaq8@hotmail.com</t>
        </is>
      </c>
      <c r="C1245" s="5" t="inlineStr">
        <is>
          <t xml:space="preserve">remove this </t>
        </is>
      </c>
      <c r="D1245" s="5" t="inlineStr">
        <is>
          <t xml:space="preserve">Hello! How can we help you?  Report مطلوب ارض بالعقيله او المنقف- : 99855110  Sent from my iPhone </t>
        </is>
      </c>
      <c r="E1245" s="7" t="inlineStr">
        <is>
          <t>99855110</t>
        </is>
      </c>
    </row>
    <row r="1246" ht="18" customHeight="1">
      <c r="A1246" s="2" t="inlineStr">
        <is>
          <t>maha q8 &lt;mahoyaq8@hotmail.com&gt;</t>
        </is>
      </c>
      <c r="B1246" s="3" t="inlineStr">
        <is>
          <t>mahoyaq8@hotmail.com</t>
        </is>
      </c>
      <c r="C1246" s="2" t="inlineStr">
        <is>
          <t xml:space="preserve">remove this </t>
        </is>
      </c>
      <c r="D1246" s="2" t="inlineStr">
        <is>
          <t xml:space="preserve">Hello! How can we help you?  Report ابوحمد العقيلة ق2 ق339- : 99855110  Sent from my iPhone </t>
        </is>
      </c>
      <c r="E1246" s="4" t="inlineStr">
        <is>
          <t>99855110</t>
        </is>
      </c>
    </row>
    <row r="1247" ht="18" customHeight="1">
      <c r="A1247" s="5" t="inlineStr">
        <is>
          <t>maha q8 &lt;mahoyaq8@hotmail.com&gt;</t>
        </is>
      </c>
      <c r="B1247" s="6" t="inlineStr">
        <is>
          <t>mahoyaq8@hotmail.com</t>
        </is>
      </c>
      <c r="C1247" s="5" t="inlineStr">
        <is>
          <t xml:space="preserve">remove this </t>
        </is>
      </c>
      <c r="D1247" s="5" t="inlineStr">
        <is>
          <t xml:space="preserve">Hello! How can we help you?  Report ابوحمد صاحب ارض العقيلة ق2 مقابل المسجد- : 99855110  Sent from my iPhone </t>
        </is>
      </c>
      <c r="E1247" s="7" t="inlineStr">
        <is>
          <t>99855110</t>
        </is>
      </c>
    </row>
    <row r="1248" ht="18" customHeight="1">
      <c r="A1248" s="2" t="inlineStr">
        <is>
          <t>maha q8 &lt;mahoyaq8@hotmail.com&gt;</t>
        </is>
      </c>
      <c r="B1248" s="3" t="inlineStr">
        <is>
          <t>mahoyaq8@hotmail.com</t>
        </is>
      </c>
      <c r="C1248" s="2" t="inlineStr">
        <is>
          <t xml:space="preserve">remove this </t>
        </is>
      </c>
      <c r="D1248" s="2" t="inlineStr">
        <is>
          <t xml:space="preserve">Hello! How can we help you?  Report ابو حمد مطلوب ارض العقيلة- : 99855110  Sent from my iPhone </t>
        </is>
      </c>
      <c r="E1248" s="4" t="inlineStr">
        <is>
          <t>99855110</t>
        </is>
      </c>
    </row>
    <row r="1249" ht="18" customHeight="1">
      <c r="A1249" s="5" t="inlineStr">
        <is>
          <t>maha q8 &lt;mahoyaq8@hotmail.com&gt;</t>
        </is>
      </c>
      <c r="B1249" s="6" t="inlineStr">
        <is>
          <t>mahoyaq8@hotmail.com</t>
        </is>
      </c>
      <c r="C1249" s="5" t="inlineStr">
        <is>
          <t xml:space="preserve">remove this </t>
        </is>
      </c>
      <c r="D1249" s="5" t="inlineStr">
        <is>
          <t xml:space="preserve">Hello! How can we help you?  Report ابو حمد ارض العقيله ق2 قسيمه 339عند ممدوح- : 99855110  Sent from my iPhone </t>
        </is>
      </c>
      <c r="E1249" s="7" t="inlineStr">
        <is>
          <t>99855110</t>
        </is>
      </c>
    </row>
    <row r="1250" ht="18" customHeight="1">
      <c r="A1250" s="2" t="inlineStr">
        <is>
          <t>maha q8 &lt;mahoyaq8@hotmail.com&gt;</t>
        </is>
      </c>
      <c r="B1250" s="3" t="inlineStr">
        <is>
          <t>mahoyaq8@hotmail.com</t>
        </is>
      </c>
      <c r="C1250" s="2" t="inlineStr">
        <is>
          <t xml:space="preserve">remove this </t>
        </is>
      </c>
      <c r="D1250" s="2" t="inlineStr">
        <is>
          <t xml:space="preserve">Hello! How can we help you?  Report ابوحمد صاحب ارض العقيلة ق2 مقابل المسجد- : 99855110  Sent from my iPhone </t>
        </is>
      </c>
      <c r="E1250" s="4" t="inlineStr">
        <is>
          <t>99855110</t>
        </is>
      </c>
    </row>
    <row r="1251" ht="18" customHeight="1">
      <c r="A1251" s="5">
        <f>?UTF-8?B?2YfYtNin2YUg2KfZhNis2KjZhNmKINin2YTYrNio2YTZig==?= &lt;hshamaljblya@gmail.com&gt;</f>
        <v/>
      </c>
      <c r="B1251" s="6" t="inlineStr">
        <is>
          <t>hshamaljblya@gmail.com</t>
        </is>
      </c>
      <c r="C1251" s="5" t="inlineStr"/>
      <c r="D1251" s="5" t="inlineStr">
        <is>
          <t xml:space="preserve">دمت </t>
        </is>
      </c>
      <c r="E1251" s="7" t="inlineStr"/>
    </row>
    <row r="1252" ht="18" customHeight="1">
      <c r="A1252" s="2" t="inlineStr">
        <is>
          <t>Majed alotaibi &lt;alotaibim944@gmail.com&gt;</t>
        </is>
      </c>
      <c r="B1252" s="3" t="inlineStr">
        <is>
          <t>alotaibim944@gmail.com</t>
        </is>
      </c>
      <c r="C1252" s="2">
        <f>?utf-8?B?2KXZhNi62KfYoQ==?=</f>
        <v/>
      </c>
      <c r="D1252" s="2" t="inlineStr">
        <is>
          <t>Hello! How can we help you?  اريد إلغاء حجب رقمي 67676788 ‫أُرسلت من الـ iPhone‬</t>
        </is>
      </c>
      <c r="E1252" s="4" t="inlineStr">
        <is>
          <t>67676788</t>
        </is>
      </c>
    </row>
    <row r="1253" ht="18" customHeight="1">
      <c r="A1253" s="5" t="inlineStr">
        <is>
          <t>al7ja almahde &lt;almahdeag_q8@hotmail.com&gt;</t>
        </is>
      </c>
      <c r="B1253" s="6" t="inlineStr">
        <is>
          <t>almahdeag_q8@hotmail.com</t>
        </is>
      </c>
      <c r="C1253" s="5">
        <f>?utf-8?B?2KfYsdis2YjYpyDYp9iu2YHYp9ihINmH2LDYpyDYp9mE2KfYs9mFINmF2YYg?=  =?utf-8?B?2LPYrNmEINin2YTYp9ix2YLYp9mF?=</f>
        <v/>
      </c>
      <c r="D1253" s="5" t="inlineStr">
        <is>
          <t xml:space="preserve">Hello! How can we help you?  Report تبرع 42 260 : 99424652  ‫أُرسلت من الـ iPhone‬ </t>
        </is>
      </c>
      <c r="E1253" s="7" t="inlineStr">
        <is>
          <t>99424652</t>
        </is>
      </c>
    </row>
    <row r="1254" ht="18" customHeight="1">
      <c r="A1254" s="2" t="inlineStr">
        <is>
          <t>Khaled Alenezi &lt;khaled081@outlook.com&gt;</t>
        </is>
      </c>
      <c r="B1254" s="3" t="inlineStr">
        <is>
          <t>khaled081@outlook.com</t>
        </is>
      </c>
      <c r="C1254" s="2">
        <f>?utf-8?B?2YTZhSDZiti52K8g2KfZhNix2YLZhSDZhNmHIA==?=</f>
        <v/>
      </c>
      <c r="D1254" s="2" t="inlineStr">
        <is>
          <t xml:space="preserve">Hello! How can we help you?  Report خالد الكندري- مدير مكتب نائب مجلس الأمه : 98797779  Sent from my iPhone </t>
        </is>
      </c>
      <c r="E1254" s="4" t="inlineStr">
        <is>
          <t>98797779</t>
        </is>
      </c>
    </row>
    <row r="1255" ht="18" customHeight="1">
      <c r="A1255" s="5">
        <f>?utf-8?B?2KjZiCDYs9i52YjYryDYp9mE2K3ZhdmK2K/Zig==?= 	&lt;mazahem@outlook.com&gt;</f>
        <v/>
      </c>
      <c r="B1255" s="6" t="inlineStr">
        <is>
          <t>mazahem@outlook.com</t>
        </is>
      </c>
      <c r="C1255" s="5">
        <f>?utf-8?B?2YXYsdit2KjYpyA=?=</f>
        <v/>
      </c>
      <c r="D1255" s="5" t="inlineStr">
        <is>
          <t xml:space="preserve">مرحبا انا عملت بلوك لرقمي هذا لماذا تم رفع البلوك عنه  Report مزاحم الرميج- : 66464665  ‫أُرسلت من الـ iPhone‬ </t>
        </is>
      </c>
      <c r="E1255" s="7" t="inlineStr">
        <is>
          <t>66464665</t>
        </is>
      </c>
    </row>
    <row r="1256" ht="18" customHeight="1">
      <c r="A1256" s="2" t="inlineStr">
        <is>
          <t>suha boresli &lt;suha89boresli@hotmail.com&gt;</t>
        </is>
      </c>
      <c r="B1256" s="3" t="inlineStr">
        <is>
          <t>suha89boresli@hotmail.com</t>
        </is>
      </c>
      <c r="C1256" s="2">
        <f>?utf-8?B?2YbYtNixINio2YrYp9mG2KfYqiDYrtin2LXZhw==?=</f>
        <v/>
      </c>
      <c r="D1256" s="2" t="inlineStr">
        <is>
          <t xml:space="preserve">Hello! How can we help you?  Report الشهداء قطعه 5 : 97770785  ‫أُرسلت من الـ iPhone‬ </t>
        </is>
      </c>
      <c r="E1256" s="4" t="inlineStr">
        <is>
          <t>97770785</t>
        </is>
      </c>
    </row>
    <row r="1257" ht="18" customHeight="1">
      <c r="A1257" s="5" t="inlineStr">
        <is>
          <t>suha boresli &lt;suha89boresli@hotmail.com&gt;</t>
        </is>
      </c>
      <c r="B1257" s="6" t="inlineStr">
        <is>
          <t>suha89boresli@hotmail.com</t>
        </is>
      </c>
      <c r="C1257" s="5">
        <f>?utf-8?B?2KfZhtiq2YfYp9mDINiu2LXZiNi12YrZhw==?=</f>
        <v/>
      </c>
      <c r="D1257" s="5" t="inlineStr">
        <is>
          <t xml:space="preserve">Hello! How can we help you?  Report سهى زوجة ولدي : 97770785  ‫أُرسلت من الـ iPhone‬ </t>
        </is>
      </c>
      <c r="E1257" s="7" t="inlineStr">
        <is>
          <t>97770785</t>
        </is>
      </c>
    </row>
    <row r="1258" ht="18" customHeight="1">
      <c r="A1258" s="2" t="inlineStr">
        <is>
          <t>suha boresli &lt;suha89boresli@hotmail.com&gt;</t>
        </is>
      </c>
      <c r="B1258" s="3" t="inlineStr">
        <is>
          <t>suha89boresli@hotmail.com</t>
        </is>
      </c>
      <c r="C1258" s="2">
        <f>?utf-8?B?2KfZhtiq2YfYp9mDINiu2LXZiNi12YrZhw==?=</f>
        <v/>
      </c>
      <c r="D1258" s="2" t="inlineStr">
        <is>
          <t xml:space="preserve">Hello! How can we help you?  Report سهى زوجة ولدي دعيج : 97770785  ‫أُرسلت من الـ iPhone‬ </t>
        </is>
      </c>
      <c r="E1258" s="4" t="inlineStr">
        <is>
          <t>97770785</t>
        </is>
      </c>
    </row>
    <row r="1259" ht="18" customHeight="1">
      <c r="A1259" s="5" t="inlineStr">
        <is>
          <t>Dhdnx Xb &lt;kuw5899@gmail.com&gt;</t>
        </is>
      </c>
      <c r="B1259" s="6" t="inlineStr">
        <is>
          <t>kuw5899@gmail.com</t>
        </is>
      </c>
      <c r="C1259" s="5">
        <f>?utf-8?B?2LnZhtmI2KfZhtmK?=</f>
        <v/>
      </c>
      <c r="D1259" s="5" t="inlineStr">
        <is>
          <t>Hello! How can we help you?  Report سعد العبد الله ق 3 ش 322 م 192 : 55995018   Sent from my iPhone</t>
        </is>
      </c>
      <c r="E1259" s="7" t="inlineStr">
        <is>
          <t>55995018</t>
        </is>
      </c>
    </row>
    <row r="1260" ht="18" customHeight="1">
      <c r="A1260" s="2">
        <f>?utf-8?B?2YLZhtin2Kkg2YXYstin2Kw=?= &lt;fahadalkhanfor@gmail.com&gt;</f>
        <v/>
      </c>
      <c r="B1260" s="3" t="inlineStr">
        <is>
          <t>fahadalkhanfor@gmail.com</t>
        </is>
      </c>
      <c r="C1260" s="2">
        <f>?utf-8?B?2KfZhNin2LPZhSDYrti32KM=?=</f>
        <v/>
      </c>
      <c r="D1260" s="2" t="inlineStr">
        <is>
          <t xml:space="preserve">Hello! How can we help you?  Report فهد خالد الخنفور2- : 60444905    الاسم خطأ  </t>
        </is>
      </c>
      <c r="E1260" s="4" t="inlineStr">
        <is>
          <t>60444905</t>
        </is>
      </c>
    </row>
    <row r="1261" ht="18" customHeight="1">
      <c r="A1261" s="5">
        <f>?utf-8?B?2YLZhtin2Kkg2YXYstin2Kw=?= &lt;fahadalkhanfor@gmail.com&gt;</f>
        <v/>
      </c>
      <c r="B1261" s="6" t="inlineStr">
        <is>
          <t>fahadalkhanfor@gmail.com</t>
        </is>
      </c>
      <c r="C1261" s="5">
        <f>?utf-8?B?2KfZhNin2LPZhSDYrti32KM=?=</f>
        <v/>
      </c>
      <c r="D1261" s="5" t="inlineStr">
        <is>
          <t xml:space="preserve">Hello! How can we help you?  Report فهد خالد رفيج حمد واحمد- : 60444905    الاسم خطأ  </t>
        </is>
      </c>
      <c r="E1261" s="7" t="inlineStr">
        <is>
          <t>60444905</t>
        </is>
      </c>
    </row>
    <row r="1262" ht="18" customHeight="1">
      <c r="A1262" s="2" t="inlineStr">
        <is>
          <t>Hn An &lt;aeaxn.22@gmail.com&gt;</t>
        </is>
      </c>
      <c r="B1262" s="3" t="inlineStr">
        <is>
          <t>aeaxn.22@gmail.com</t>
        </is>
      </c>
      <c r="C1262" s="2">
        <f>?utf-8?B?2KfZhNiz2YTYp9mFINmI2KfZhNix2K3ZhdmHINmF2YXZg9mGINmF?=  =?utf-8?B?2LPYrSDYp9mE2KfYs9in2KbZhyDYudmE2Ykg2KfZhNix2YLZhSA2?=  =?utf-8?B?NTY5MTAwMC4gINi52YXZhNipINio2YTYp9i6INi52YTZiSDYp9mE?=  =?utf-8?B?2KfYs9in2KbZhyDZiNmE2YUg2KrZhdiz2K0gINin2YTZhNmHINmK?=  =?utf-8?B?2KzYstin2YPZhSDYrtmK2LEg2YrYp9mE2YrYqiDYqtmF2LPYrSA=?=  =?utf-8?B?2KfZhNin2LPYp9im2YcgINmG2YjYuSDYp9mE2KfYs9in2KbZhyA=?=  =?utf-8?B?2KjZhtiqINiy2KjYp9mE2Ycg2KrYs9in2KbZhCDZiNiq2LTYsdiv?=</f>
        <v/>
      </c>
      <c r="D1262" s="2" t="inlineStr">
        <is>
          <t>Hello! How can we help you?  Report وزباله و بنت تسال و تشرد : 65691000   ‫أُرسلت من الـ iPhone‬</t>
        </is>
      </c>
      <c r="E1262" s="4" t="inlineStr">
        <is>
          <t>65691000</t>
        </is>
      </c>
    </row>
    <row r="1263" ht="18" customHeight="1">
      <c r="A1263" s="5" t="inlineStr">
        <is>
          <t>Hn An &lt;aeaxn.22@gmail.com&gt;</t>
        </is>
      </c>
      <c r="B1263" s="6" t="inlineStr">
        <is>
          <t>aeaxn.22@gmail.com</t>
        </is>
      </c>
      <c r="C1263" s="5">
        <f>?utf-8?B?2KfZhNix2KzYp9ihINmF2LPYrSDYp9mE2KfYs9in2KbZhw==?=</f>
        <v/>
      </c>
      <c r="D1263" s="5" t="inlineStr">
        <is>
          <t>﻿ ﻿ Hello! How can we help you?  Report وزباله و بنت تسال و تشرد : 65691000   ‫أُرسلت من الـ iPhone‬</t>
        </is>
      </c>
      <c r="E1263" s="7" t="inlineStr">
        <is>
          <t>65691000</t>
        </is>
      </c>
    </row>
    <row r="1264" ht="18" customHeight="1">
      <c r="A1264" s="2" t="inlineStr">
        <is>
          <t>Hn An &lt;aeaxn.22@gmail.com&gt;</t>
        </is>
      </c>
      <c r="B1264" s="3" t="inlineStr">
        <is>
          <t>aeaxn.22@gmail.com</t>
        </is>
      </c>
      <c r="C1264" s="2">
        <f>?utf-8?B?2KfZhNix2KzYp9ihINmF2LPYrSDYp9mE2KfYs9in2KbZhw==?=</f>
        <v/>
      </c>
      <c r="D1264" s="2" t="inlineStr">
        <is>
          <t>﻿ ﻿ Hello! How can we help you?  Report وزباله و بنت تسال و تشرد : 65691000   ‫أُرسلت من الـ iPhone‬</t>
        </is>
      </c>
      <c r="E1264" s="4" t="inlineStr">
        <is>
          <t>65691000</t>
        </is>
      </c>
    </row>
    <row r="1265" ht="18" customHeight="1">
      <c r="A1265" s="5" t="inlineStr">
        <is>
          <t>Hn An &lt;aeaxn.22@gmail.com&gt;</t>
        </is>
      </c>
      <c r="B1265" s="6" t="inlineStr">
        <is>
          <t>aeaxn.22@gmail.com</t>
        </is>
      </c>
      <c r="C1265" s="5">
        <f>?utf-8?B?2KfZhNix2KzYp9ihINmF2LPYrSDYp9mE2KfYs9in2KbZhw==?=</f>
        <v/>
      </c>
      <c r="D1265" s="5" t="inlineStr">
        <is>
          <t>﻿ ﻿ Hello! How can we help you?  Report وزباله و بنت تسال و تشرد : 65691000   ‫أُرسلت من الـ iPhone‬</t>
        </is>
      </c>
      <c r="E1265" s="7" t="inlineStr">
        <is>
          <t>65691000</t>
        </is>
      </c>
    </row>
    <row r="1266" ht="18" customHeight="1">
      <c r="A1266" s="2" t="inlineStr">
        <is>
          <t>Hn An &lt;aeaxn.22@gmail.com&gt;</t>
        </is>
      </c>
      <c r="B1266" s="3" t="inlineStr">
        <is>
          <t>aeaxn.22@gmail.com</t>
        </is>
      </c>
      <c r="C1266" s="2">
        <f>?utf-8?B?2KfZhNix2KzYp9ihINmF2LPYrSDYp9mE2KfYs9in2KbZhw==?=</f>
        <v/>
      </c>
      <c r="D1266" s="2" t="inlineStr">
        <is>
          <t>﻿ ﻿ Hello! How can we help you?  Report وزباله و بنت تسال و تشرد : 65691000   ‫أُرسلت من الـ iPhone‬</t>
        </is>
      </c>
      <c r="E1266" s="4" t="inlineStr">
        <is>
          <t>65691000</t>
        </is>
      </c>
    </row>
    <row r="1267" ht="18" customHeight="1">
      <c r="A1267" s="5" t="inlineStr">
        <is>
          <t>Hn An &lt;aeaxn.22@gmail.com&gt;</t>
        </is>
      </c>
      <c r="B1267" s="6" t="inlineStr">
        <is>
          <t>aeaxn.22@gmail.com</t>
        </is>
      </c>
      <c r="C1267" s="5">
        <f>?utf-8?B?2KfZhNix2KzYp9ihINmF2LPYrSDYp9mE2KfYs9in2KbZhw==?=</f>
        <v/>
      </c>
      <c r="D1267" s="5" t="inlineStr">
        <is>
          <t>﻿ ﻿ Hello! How can we help you?  Report وزباله و بنت تسال و تشرد : 65691000   ‫أُرسلت من الـ iPhone‬</t>
        </is>
      </c>
      <c r="E1267" s="7" t="inlineStr">
        <is>
          <t>65691000</t>
        </is>
      </c>
    </row>
    <row r="1268" ht="18" customHeight="1">
      <c r="A1268" s="2" t="inlineStr">
        <is>
          <t>Hn An &lt;aeaxn.22@gmail.com&gt;</t>
        </is>
      </c>
      <c r="B1268" s="3" t="inlineStr">
        <is>
          <t>aeaxn.22@gmail.com</t>
        </is>
      </c>
      <c r="C1268" s="2">
        <f>?utf-8?B?2KfZhNix2KzYp9ihINmF2LPYrSDYp9mE2KfYs9in2KbZhw==?=</f>
        <v/>
      </c>
      <c r="D1268" s="2" t="inlineStr">
        <is>
          <t>﻿ Hello! How can we help you?  Report وزباله و بنت تسال و تشرد : 65691000   ‫أُرسلت من الـ iPhone‬</t>
        </is>
      </c>
      <c r="E1268" s="4" t="inlineStr">
        <is>
          <t>65691000</t>
        </is>
      </c>
    </row>
    <row r="1269" ht="18" customHeight="1">
      <c r="A1269" s="5" t="inlineStr">
        <is>
          <t>Hn An &lt;aeaxn.22@gmail.com&gt;</t>
        </is>
      </c>
      <c r="B1269" s="6" t="inlineStr">
        <is>
          <t>aeaxn.22@gmail.com</t>
        </is>
      </c>
      <c r="C1269" s="5">
        <f>?utf-8?B?2KfZhNix2KzYp9ihINmF2LPYrSDYp9mE2KfYs9in2KbZhw==?=</f>
        <v/>
      </c>
      <c r="D1269" s="5" t="inlineStr">
        <is>
          <t>﻿ Hello! How can we help you?  Report وزباله و بنت تسال و تشرد : 65691000   ‫أُرسلت من الـ iPhone‬</t>
        </is>
      </c>
      <c r="E1269" s="7" t="inlineStr">
        <is>
          <t>65691000</t>
        </is>
      </c>
    </row>
    <row r="1270" ht="18" customHeight="1">
      <c r="A1270" s="2" t="inlineStr">
        <is>
          <t>Hn An &lt;aeaxn.22@gmail.com&gt;</t>
        </is>
      </c>
      <c r="B1270" s="3" t="inlineStr">
        <is>
          <t>aeaxn.22@gmail.com</t>
        </is>
      </c>
      <c r="C1270" s="2">
        <f>?utf-8?B?2KfZhNix2KzYp9ihINmF2LPYrSDYp9mE2KfYs9in2KbZhw==?=</f>
        <v/>
      </c>
      <c r="D1270" s="2" t="inlineStr">
        <is>
          <t>﻿ Hello! How can we help you?  Report وزباله و بنت تسال و تشرد : 65691000   ‫أُرسلت من الـ iPhone‬</t>
        </is>
      </c>
      <c r="E1270" s="4" t="inlineStr">
        <is>
          <t>65691000</t>
        </is>
      </c>
    </row>
    <row r="1271" ht="18" customHeight="1">
      <c r="A1271" s="5" t="inlineStr">
        <is>
          <t>Hn An &lt;aeaxn.22@gmail.com&gt;</t>
        </is>
      </c>
      <c r="B1271" s="6" t="inlineStr">
        <is>
          <t>aeaxn.22@gmail.com</t>
        </is>
      </c>
      <c r="C1271" s="5">
        <f>?utf-8?B?2KfZhNix2KzYp9ihINmF2LPYrSDYp9mE2KfYs9in2KbZhw==?=</f>
        <v/>
      </c>
      <c r="D1271" s="5" t="inlineStr">
        <is>
          <t>﻿ Hello! How can we help you?  Report وزباله و بنت تسال و تشرد : 65691000   ‫أُرسلت من الـ iPhone‬</t>
        </is>
      </c>
      <c r="E1271" s="7" t="inlineStr">
        <is>
          <t>65691000</t>
        </is>
      </c>
    </row>
    <row r="1272" ht="18" customHeight="1">
      <c r="A1272" s="2" t="inlineStr">
        <is>
          <t>Hn An &lt;aeaxn.22@gmail.com&gt;</t>
        </is>
      </c>
      <c r="B1272" s="3" t="inlineStr">
        <is>
          <t>aeaxn.22@gmail.com</t>
        </is>
      </c>
      <c r="C1272" s="2">
        <f>?utf-8?B?2KfZhNix2KzYp9ihINmF2LPYrSDYp9mE2KfYs9in2KbZhw==?=</f>
        <v/>
      </c>
      <c r="D1272" s="2" t="inlineStr">
        <is>
          <t>﻿ Hello! How can we help you?  Report وزباله و بنت تسال و تشرد : 65691000   ‫أُرسلت من الـ iPhone‬</t>
        </is>
      </c>
      <c r="E1272" s="4" t="inlineStr">
        <is>
          <t>65691000</t>
        </is>
      </c>
    </row>
    <row r="1273" ht="18" customHeight="1">
      <c r="A1273" s="5" t="inlineStr">
        <is>
          <t>Hn An &lt;aeaxn.22@gmail.com&gt;</t>
        </is>
      </c>
      <c r="B1273" s="6" t="inlineStr">
        <is>
          <t>aeaxn.22@gmail.com</t>
        </is>
      </c>
      <c r="C1273" s="5">
        <f>?utf-8?B?2KfZhNix2KzYp9ihINmF2LPYrSDYp9mE2KfYs9in2KbZhw==?=</f>
        <v/>
      </c>
      <c r="D1273" s="5" t="inlineStr">
        <is>
          <t>﻿ Hello! How can we help you?  Report وزباله و بنت تسال و تشرد : 65691000   ‫أُرسلت من الـ iPhone‬</t>
        </is>
      </c>
      <c r="E1273" s="7" t="inlineStr">
        <is>
          <t>65691000</t>
        </is>
      </c>
    </row>
    <row r="1274" ht="18" customHeight="1">
      <c r="A1274" s="2" t="inlineStr">
        <is>
          <t>Hn An &lt;aeaxn.22@gmail.com&gt;</t>
        </is>
      </c>
      <c r="B1274" s="3" t="inlineStr">
        <is>
          <t>aeaxn.22@gmail.com</t>
        </is>
      </c>
      <c r="C1274" s="2">
        <f>?utf-8?B?2KfZhNix2KzYp9ihINmF2LPYrSDYp9mE2KfYs9in2KbZhw==?=</f>
        <v/>
      </c>
      <c r="D1274" s="2" t="inlineStr">
        <is>
          <t>﻿ Hello! How can we help you?  Report وزباله و بنت تسال و تشرد : 65691000   ‫أُرسلت من الـ iPhone‬</t>
        </is>
      </c>
      <c r="E1274" s="4" t="inlineStr">
        <is>
          <t>65691000</t>
        </is>
      </c>
    </row>
    <row r="1275" ht="18" customHeight="1">
      <c r="A1275" s="5" t="inlineStr">
        <is>
          <t>Hn An &lt;aeaxn.22@gmail.com&gt;</t>
        </is>
      </c>
      <c r="B1275" s="6" t="inlineStr">
        <is>
          <t>aeaxn.22@gmail.com</t>
        </is>
      </c>
      <c r="C1275" s="5">
        <f>?utf-8?B?2KfZhNix2KzYp9ihINmF2LPYrSDYp9mE2KfYs9in2KbZhw==?=</f>
        <v/>
      </c>
      <c r="D1275" s="5" t="inlineStr">
        <is>
          <t>﻿ Hello! How can we help you?  Report وزباله و بنت تسال و تشرد : 65691000   ‫أُرسلت من الـ iPhone‬</t>
        </is>
      </c>
      <c r="E1275" s="7" t="inlineStr">
        <is>
          <t>65691000</t>
        </is>
      </c>
    </row>
    <row r="1276" ht="18" customHeight="1">
      <c r="A1276" s="2" t="inlineStr">
        <is>
          <t>Hn An &lt;aeaxn.22@gmail.com&gt;</t>
        </is>
      </c>
      <c r="B1276" s="3" t="inlineStr">
        <is>
          <t>aeaxn.22@gmail.com</t>
        </is>
      </c>
      <c r="C1276" s="2">
        <f>?utf-8?B?2KfZhNix2KzYp9ihINmF2LPYrSDYp9mE2KfYs9in2KbZhw==?=</f>
        <v/>
      </c>
      <c r="D1276" s="2" t="inlineStr">
        <is>
          <t>﻿ Hello! How can we help you?  Report وزباله و بنت تسال و تشرد : 65691000   ‫أُرسلت من الـ iPhone‬</t>
        </is>
      </c>
      <c r="E1276" s="4" t="inlineStr">
        <is>
          <t>65691000</t>
        </is>
      </c>
    </row>
    <row r="1277" ht="18" customHeight="1">
      <c r="A1277" s="5" t="inlineStr">
        <is>
          <t>hadeel ahmad &lt;hadooola_9991@icloud.com&gt;</t>
        </is>
      </c>
      <c r="B1277" s="6" t="inlineStr">
        <is>
          <t>hadooola_9991@icloud.com</t>
        </is>
      </c>
      <c r="C1277" s="5" t="inlineStr">
        <is>
          <t xml:space="preserve">delete name </t>
        </is>
      </c>
      <c r="D1277" s="5" t="inlineStr">
        <is>
          <t>Hello! How can we help you?  Report ي قطط : 51106022   Sent from my iPhone</t>
        </is>
      </c>
      <c r="E1277" s="7" t="inlineStr">
        <is>
          <t>51106022</t>
        </is>
      </c>
    </row>
    <row r="1278" ht="18" customHeight="1">
      <c r="A1278" s="2" t="inlineStr">
        <is>
          <t>Hn An &lt;aeaxn.22@gmail.com&gt;</t>
        </is>
      </c>
      <c r="B1278" s="3" t="inlineStr">
        <is>
          <t>aeaxn.22@gmail.com</t>
        </is>
      </c>
      <c r="C1278" s="2">
        <f>?utf-8?B?2KfZhNix2KzYp9ihINmF2LPYrSDYp9mE2KfYs9in2KbZhw==?=</f>
        <v/>
      </c>
      <c r="D1278" s="2" t="inlineStr">
        <is>
          <t>Hello! How can we help you?  Report وزباله و بنت تسال و تشرد : 65691000   ‫أُرسلت من الـ iPhone‬</t>
        </is>
      </c>
      <c r="E1278" s="4" t="inlineStr">
        <is>
          <t>65691000</t>
        </is>
      </c>
    </row>
    <row r="1279" ht="18" customHeight="1">
      <c r="A1279" s="5" t="inlineStr">
        <is>
          <t>Soud Alqwe3an &lt;soud.alqwe3an@gmail.com&gt;</t>
        </is>
      </c>
      <c r="B1279" s="6" t="inlineStr">
        <is>
          <t>soud.alqwe3an@gmail.com</t>
        </is>
      </c>
      <c r="C1279" s="5">
        <f>?utf-8?B?2KfZhNin2LPZhSDZitiz2YrYpiDZhNmKINmK2LHYrNmJINi02Lc=?=  =?utf-8?B?2KjZhyA=?=</f>
        <v/>
      </c>
      <c r="D1279" s="5" t="inlineStr">
        <is>
          <t>Hello! How can we help you?  Report نووووغ- : 55552442   ‫أُرسلت من الـ iPhone‬</t>
        </is>
      </c>
      <c r="E1279" s="7" t="inlineStr">
        <is>
          <t>55552442</t>
        </is>
      </c>
    </row>
    <row r="1280" ht="18" customHeight="1">
      <c r="A1280" s="2" t="inlineStr">
        <is>
          <t>Soud Alqwe3an &lt;soud.alqwe3an@gmail.com&gt;</t>
        </is>
      </c>
      <c r="B1280" s="3" t="inlineStr">
        <is>
          <t>soud.alqwe3an@gmail.com</t>
        </is>
      </c>
      <c r="C1280" s="2">
        <f>?utf-8?B?2KfZhNin2LPZhSDZhdmIINin2LPZhdmKINmK2LHYrNmJINi02Lc=?=  =?utf-8?B?2KjZhyA=?=</f>
        <v/>
      </c>
      <c r="D1280" s="2" t="inlineStr">
        <is>
          <t>Hello! How can we help you?  Report هنادي اسبيشل- : 55552442   ‫أُرسلت من الـ iPhone‬</t>
        </is>
      </c>
      <c r="E1280" s="4" t="inlineStr">
        <is>
          <t>55552442</t>
        </is>
      </c>
    </row>
    <row r="1281" ht="18" customHeight="1">
      <c r="A1281" s="5">
        <f>?utf-8?B?2LnYqNiv2KfZhNmE2Ycg2KfZhNmH2KfYrNix2Yo=?= 	&lt;abade2512001@hotmail.com&gt;</f>
        <v/>
      </c>
      <c r="B1281" s="6" t="inlineStr">
        <is>
          <t>abade2512001@hotmail.com</t>
        </is>
      </c>
      <c r="C1281" s="5" t="inlineStr"/>
      <c r="D1281" s="5" t="inlineStr">
        <is>
          <t xml:space="preserve">Hello! How can we help you?  Report خنيس : 90969797  خنيس بمعنى خنيث وهي اساءة لي يرجى الحذف Sent from my iPhone </t>
        </is>
      </c>
      <c r="E1281" s="7" t="inlineStr">
        <is>
          <t>90969797</t>
        </is>
      </c>
    </row>
    <row r="1282" ht="18" customHeight="1">
      <c r="A1282" s="2" t="inlineStr">
        <is>
          <t>asma Abduljader &lt;abduljader032@gmail.com&gt;</t>
        </is>
      </c>
      <c r="B1282" s="3" t="inlineStr">
        <is>
          <t>abduljader032@gmail.com</t>
        </is>
      </c>
      <c r="C1282" s="2">
        <f>?utf-8?B?2LHZgtmFIDY1MDY2NTEwINmF2LPZiNmK2Ycg2KjZhNmI2YMg2LQ=?=  =?utf-8?B?2YfYsSDZpiDZiNi02KfZhNmI2Ycg2LTZh9ixINin2YPYqtmI2Kg=?=  =?utf-8?B?2LEg2YLYqNmEINmK2YPYqtmF2YQg2LPZhtmHICHYnyDZhNmK2LQg?=  =?utf-8?B?2J8=?=</f>
        <v/>
      </c>
      <c r="D1282" s="2" t="inlineStr">
        <is>
          <t xml:space="preserve"> ‫أُرسلت من الـ iPhone‬</t>
        </is>
      </c>
      <c r="E1282" s="4" t="inlineStr"/>
    </row>
    <row r="1283" ht="18" customHeight="1">
      <c r="A1283" s="5" t="inlineStr">
        <is>
          <t>Hn An &lt;aeaxn.22@gmail.com&gt;</t>
        </is>
      </c>
      <c r="B1283" s="6" t="inlineStr">
        <is>
          <t>aeaxn.22@gmail.com</t>
        </is>
      </c>
      <c r="C1283" s="5">
        <f>?utf-8?B?2KfZhNiz2YTYp9mFINmI2KfZhNix2K3ZhdmHINmF2YXZg9mGINin?=  =?utf-8?B?2LLYp9im2YTYqSDYp9mE2KfYs9in2KbZhw==?=</f>
        <v/>
      </c>
      <c r="D1283" s="5" t="inlineStr">
        <is>
          <t>Hello! How can we help you?  Report وزباله و بنت تسال و تشرد : 65691000   ‫أُرسلت من الـ iPhone‬</t>
        </is>
      </c>
      <c r="E1283" s="7" t="inlineStr">
        <is>
          <t>65691000</t>
        </is>
      </c>
    </row>
    <row r="1284" ht="18" customHeight="1">
      <c r="A1284" s="2" t="inlineStr">
        <is>
          <t>Hn An &lt;aeaxn.22@gmail.com&gt;</t>
        </is>
      </c>
      <c r="B1284" s="3" t="inlineStr">
        <is>
          <t>aeaxn.22@gmail.com</t>
        </is>
      </c>
      <c r="C1284" s="2">
        <f>?utf-8?B?2KfZhNiz2YTYp9mFINmI2KfZhNix2K3ZhdmHINmF2YXZg9mGINin?=  =?utf-8?B?2LLYp9im2YTYqSDYp9mE2KfYs9in2KbZhw==?=</f>
        <v/>
      </c>
      <c r="D1284" s="2" t="inlineStr">
        <is>
          <t>Hello! How can we help you?  Report وزباله و بنت تسال و تشرد : 65691000   ‫أُرسلت من الـ iPhone‬</t>
        </is>
      </c>
      <c r="E1284" s="4" t="inlineStr">
        <is>
          <t>65691000</t>
        </is>
      </c>
    </row>
    <row r="1285" ht="18" customHeight="1">
      <c r="A1285" s="5" t="inlineStr">
        <is>
          <t>Hn An &lt;aeaxn.22@gmail.com&gt;</t>
        </is>
      </c>
      <c r="B1285" s="6" t="inlineStr">
        <is>
          <t>aeaxn.22@gmail.com</t>
        </is>
      </c>
      <c r="C1285" s="5">
        <f>?utf-8?B?2KfZhNiz2YTYp9mFINmI2KfZhNix2K3ZhdmHINmF2YXZg9mGINin?=  =?utf-8?B?2LLYp9im2YTYqSDYp9mE2KfYs9in2KbZhw==?=</f>
        <v/>
      </c>
      <c r="D1285" s="5" t="inlineStr">
        <is>
          <t>Hello! How can we help you?  Report وزباله و بنت تسال و تشرد : 65691000   ‫أُرسلت من الـ iPhone‬</t>
        </is>
      </c>
      <c r="E1285" s="7" t="inlineStr">
        <is>
          <t>65691000</t>
        </is>
      </c>
    </row>
    <row r="1286" ht="18" customHeight="1">
      <c r="A1286" s="2" t="inlineStr">
        <is>
          <t>Hn An &lt;aeaxn.22@gmail.com&gt;</t>
        </is>
      </c>
      <c r="B1286" s="3" t="inlineStr">
        <is>
          <t>aeaxn.22@gmail.com</t>
        </is>
      </c>
      <c r="C1286" s="2" t="inlineStr"/>
      <c r="D1286" s="2" t="inlineStr">
        <is>
          <t>Hello! How can we help you?  Report وزباله و بنت تسال و تشرد : 65691000   ‫أُرسلت من الـ iPhone‬</t>
        </is>
      </c>
      <c r="E1286" s="4" t="inlineStr">
        <is>
          <t>65691000</t>
        </is>
      </c>
    </row>
    <row r="1287" ht="18" customHeight="1">
      <c r="A1287" s="5" t="inlineStr">
        <is>
          <t>Hn An &lt;aeaxn.22@gmail.com&gt;</t>
        </is>
      </c>
      <c r="B1287" s="6" t="inlineStr">
        <is>
          <t>aeaxn.22@gmail.com</t>
        </is>
      </c>
      <c r="C1287" s="5" t="inlineStr"/>
      <c r="D1287" s="5" t="inlineStr">
        <is>
          <t>Hello! How can we help you?  Report وزباله و بنت تسال و تشرد : 65691000   ‫أُرسلت من الـ iPhone‬</t>
        </is>
      </c>
      <c r="E1287" s="7" t="inlineStr">
        <is>
          <t>65691000</t>
        </is>
      </c>
    </row>
    <row r="1288" ht="18" customHeight="1">
      <c r="A1288" s="2" t="inlineStr">
        <is>
          <t>marya Alharpi &lt;maryaalharpi@gmail.com&gt;</t>
        </is>
      </c>
      <c r="B1288" s="3" t="inlineStr">
        <is>
          <t>maryaalharpi@gmail.com</t>
        </is>
      </c>
      <c r="C1288" s="2">
        <f>?UTF-8?B?2KXYqNmE2KfYuiDYudmGINil2LPYp9ih2Kk=?=</f>
        <v/>
      </c>
      <c r="D1288" s="2" t="inlineStr">
        <is>
          <t xml:space="preserve">إبلاغ عن إساءة بمسمى ) الهبله ( على الرقم 99796036 ارجو مسح اللقب وشكرا </t>
        </is>
      </c>
      <c r="E1288" s="4" t="inlineStr">
        <is>
          <t>99796036</t>
        </is>
      </c>
    </row>
    <row r="1289" ht="18" customHeight="1">
      <c r="A1289" s="5" t="inlineStr">
        <is>
          <t>Tariq Rashid &lt;tareqrashid886@icloud.com&gt;</t>
        </is>
      </c>
      <c r="B1289" s="6" t="inlineStr">
        <is>
          <t>tareqrashid886@icloud.com</t>
        </is>
      </c>
      <c r="C1289" s="5">
        <f>?utf-8?B?2YXYs9it?=</f>
        <v/>
      </c>
      <c r="D1289" s="5" t="inlineStr">
        <is>
          <t>Hello! How can we help you?  Report للبيع- : 99490225   ‫أُرسلت من الـ iPhone‬</t>
        </is>
      </c>
      <c r="E1289" s="7" t="inlineStr">
        <is>
          <t>99490225</t>
        </is>
      </c>
    </row>
    <row r="1290" ht="18" customHeight="1">
      <c r="A1290" s="2" t="inlineStr">
        <is>
          <t>Tariq Rashid &lt;tareqrashid886@icloud.com&gt;</t>
        </is>
      </c>
      <c r="B1290" s="3" t="inlineStr">
        <is>
          <t>tareqrashid886@icloud.com</t>
        </is>
      </c>
      <c r="C1290" s="2">
        <f>?utf-8?B?2YXYs9it?=</f>
        <v/>
      </c>
      <c r="D1290" s="2" t="inlineStr">
        <is>
          <t>Hello! How can we help you?  Report رخلتين- : 99490225   ‫أُرسلت من الـ iPhone‬</t>
        </is>
      </c>
      <c r="E1290" s="4" t="inlineStr">
        <is>
          <t>99490225</t>
        </is>
      </c>
    </row>
    <row r="1291" ht="18" customHeight="1">
      <c r="A1291" s="5" t="inlineStr">
        <is>
          <t>Tariq Rashid &lt;tareqrashid886@icloud.com&gt;</t>
        </is>
      </c>
      <c r="B1291" s="6" t="inlineStr">
        <is>
          <t>tareqrashid886@icloud.com</t>
        </is>
      </c>
      <c r="C1291" s="5">
        <f>?utf-8?B?2YXYs9it?=</f>
        <v/>
      </c>
      <c r="D1291" s="5" t="inlineStr">
        <is>
          <t>Hello! How can we help you?  Report سوام رخال جهز 110- : 99490225   ‫أُرسلت من الـ iPhone‬</t>
        </is>
      </c>
      <c r="E1291" s="7" t="inlineStr">
        <is>
          <t>99490225</t>
        </is>
      </c>
    </row>
    <row r="1292" ht="18" customHeight="1">
      <c r="A1292" s="2" t="inlineStr">
        <is>
          <t>Bo khaled &lt;saleh.ftw@gmail.com&gt;</t>
        </is>
      </c>
      <c r="B1292" s="3" t="inlineStr">
        <is>
          <t>saleh.ftw@gmail.com</t>
        </is>
      </c>
      <c r="C1292" s="2">
        <f>?UTF-8?B?2KfYsNinINiq2YUg2LnZhdmEINin2YTYqNmE2YjZgyDYqNin2YTZgdmK2LLYpyDZhdin?= 	=?UTF-8?B?2YfZiiDZhdiv2KrZhyDYn9ifINmE2KfYstin2KrZhyDYqNi52K8g2LDZhNmD?=</f>
        <v/>
      </c>
      <c r="D1292" s="2" t="inlineStr">
        <is>
          <t> </t>
        </is>
      </c>
      <c r="E1292" s="4" t="inlineStr"/>
    </row>
    <row r="1293" ht="18" customHeight="1">
      <c r="A1293" s="5" t="inlineStr">
        <is>
          <t>Fouzan Alfouzan &lt;fouzan.alfouzan85@gmail.com&gt;</t>
        </is>
      </c>
      <c r="B1293" s="6" t="inlineStr">
        <is>
          <t>fouzan.alfouzan85@gmail.com</t>
        </is>
      </c>
      <c r="C1293" s="5" t="inlineStr">
        <is>
          <t>Add My Company</t>
        </is>
      </c>
      <c r="D1293" s="5" t="inlineStr">
        <is>
          <t xml:space="preserve">You are one step away from taking your business to the next level!  Provide us with the following:  Manadatory Fields: Name Arabic. شركة إيطاليا للتجارة العامة و المقاولات Name English. Italia for general trading and contracting company. Website. Www.italiagypsum.com Phone. 22401128 Business sector. Manufacturing and suppling Gypsum board and ceiling tiles. Optional Fields: Location. Kuwait city , Sharq ,St Alshuhada,Kamco invest tower,floor 10 Email. reception@italiagypsum.com Notes.  Notes:  We will review the data provided including the mandatory fields. If all went alright! We will call you to authenticate you and your relation to the mentioned business. This may take up to a week. </t>
        </is>
      </c>
      <c r="E1293" s="7" t="inlineStr">
        <is>
          <t>22401128</t>
        </is>
      </c>
    </row>
    <row r="1294" ht="18" customHeight="1">
      <c r="A1294" s="2" t="inlineStr">
        <is>
          <t>TAREQ ALMEQATI &lt;tareqalmekati@gmail.com&gt;</t>
        </is>
      </c>
      <c r="B1294" s="3" t="inlineStr">
        <is>
          <t>tareqalmekati@gmail.com</t>
        </is>
      </c>
      <c r="C1294" s="2" t="inlineStr">
        <is>
          <t>66627244</t>
        </is>
      </c>
      <c r="D1294" s="2" t="inlineStr">
        <is>
          <t>Hello! How can we help you?  Report طارق المقاطي الحربي-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والنسبب لنا بمشاكل عائلية حيث ان هذا الرقم قديم ولا نستطيع تغييرة ولكم منا خالص التحية والتقدير   Sent from my iPhone</t>
        </is>
      </c>
      <c r="E1294" s="4" t="inlineStr">
        <is>
          <t>66627244</t>
        </is>
      </c>
    </row>
    <row r="1295" ht="18" customHeight="1">
      <c r="A1295" s="5" t="inlineStr">
        <is>
          <t>TAREQ ALMEQATI &lt;tareqalmekati@gmail.com&gt;</t>
        </is>
      </c>
      <c r="B1295" s="6" t="inlineStr">
        <is>
          <t>tareqalmekati@gmail.com</t>
        </is>
      </c>
      <c r="C1295" s="5">
        <f>?utf-8?Q?66627244_=D8=A7=D8=B2=D8=A7=D9=84=D8=A9?=</f>
        <v/>
      </c>
      <c r="D1295" s="5" t="inlineStr">
        <is>
          <t>Hello! How can we help you?  Report 6arq Al7arbee Almqa6ee-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5" s="7" t="inlineStr">
        <is>
          <t>66627244</t>
        </is>
      </c>
    </row>
    <row r="1296" ht="18" customHeight="1">
      <c r="A1296" s="2" t="inlineStr">
        <is>
          <t>TAREQ ALMEQATI &lt;tareqalmekati@gmail.com&gt;</t>
        </is>
      </c>
      <c r="B1296" s="3" t="inlineStr">
        <is>
          <t>tareqalmekati@gmail.com</t>
        </is>
      </c>
      <c r="C1296" s="2">
        <f>?utf-8?B?2KfZhNix2KzYp9ihINin2LLYp9mE2Kkg2YfYsNinINin2YTYsdmC?=  =?utf-8?B?2YUgNjY2MjcyNDQ=?=</f>
        <v/>
      </c>
      <c r="D1296" s="2" t="inlineStr">
        <is>
          <t>Hello! How can we help you?  Report -طارق المقاطى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6" s="4" t="inlineStr">
        <is>
          <t>66627244</t>
        </is>
      </c>
    </row>
    <row r="1297" ht="18" customHeight="1">
      <c r="A1297" s="5" t="inlineStr">
        <is>
          <t>TAREQ ALMEQATI &lt;tareqalmekati@gmail.com&gt;</t>
        </is>
      </c>
      <c r="B1297" s="6" t="inlineStr">
        <is>
          <t>tareqalmekati@gmail.com</t>
        </is>
      </c>
      <c r="C1297" s="5" t="inlineStr">
        <is>
          <t>66627244</t>
        </is>
      </c>
      <c r="D1297" s="5" t="inlineStr">
        <is>
          <t>Hello! How can we help you?  Report طارق-المقاطي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7" s="7" t="inlineStr">
        <is>
          <t>66627244</t>
        </is>
      </c>
    </row>
    <row r="1298" ht="18" customHeight="1">
      <c r="A1298" s="2" t="inlineStr">
        <is>
          <t>TAREQ ALMEQATI &lt;tareqalmekati@gmail.com&gt;</t>
        </is>
      </c>
      <c r="B1298" s="3" t="inlineStr">
        <is>
          <t>tareqalmekati@gmail.com</t>
        </is>
      </c>
      <c r="C1298" s="2">
        <f>?utf-8?Q?66627244_=D8=AA=D8=A8=D9=84=D9=8A=D8=BA?=</f>
        <v/>
      </c>
      <c r="D1298" s="2" t="inlineStr">
        <is>
          <t>Hello! How can we help you?  Report طارق ناصرالهاجري-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8" s="4" t="inlineStr">
        <is>
          <t>66627244</t>
        </is>
      </c>
    </row>
    <row r="1299" ht="18" customHeight="1">
      <c r="A1299" s="5" t="inlineStr">
        <is>
          <t>TAREQ ALMEQATI &lt;tareqalmekati@gmail.com&gt;</t>
        </is>
      </c>
      <c r="B1299" s="6" t="inlineStr">
        <is>
          <t>tareqalmekati@gmail.com</t>
        </is>
      </c>
      <c r="C1299" s="5" t="inlineStr">
        <is>
          <t>66627244</t>
        </is>
      </c>
      <c r="D1299" s="5" t="inlineStr">
        <is>
          <t>Hello! How can we help you?  Report طارق المقاطعي-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299" s="7" t="inlineStr">
        <is>
          <t>66627244</t>
        </is>
      </c>
    </row>
    <row r="1300" ht="18" customHeight="1">
      <c r="A1300" s="2" t="inlineStr">
        <is>
          <t>TAREQ ALMEQATI &lt;tareqalmekati@gmail.com&gt;</t>
        </is>
      </c>
      <c r="B1300" s="3" t="inlineStr">
        <is>
          <t>tareqalmekati@gmail.com</t>
        </is>
      </c>
      <c r="C1300" s="2">
        <f>?utf-8?Q?=D8=AA=D8=A8=D9=84=D9=8A=D8=BA_66627244?=</f>
        <v/>
      </c>
      <c r="D1300" s="2" t="inlineStr">
        <is>
          <t>Hello! How can we help you?  Report طارق ناصر المقاطي- : 66627244   Sent from my iPhone</t>
        </is>
      </c>
      <c r="E1300" s="4" t="inlineStr">
        <is>
          <t>66627244</t>
        </is>
      </c>
    </row>
    <row r="1301" ht="18" customHeight="1">
      <c r="A1301" s="5" t="inlineStr">
        <is>
          <t>TAREQ ALMEQATI &lt;tareqalmekati@gmail.com&gt;</t>
        </is>
      </c>
      <c r="B1301" s="6" t="inlineStr">
        <is>
          <t>tareqalmekati@gmail.com</t>
        </is>
      </c>
      <c r="C1301" s="5" t="inlineStr">
        <is>
          <t>66627244</t>
        </is>
      </c>
      <c r="D1301" s="5" t="inlineStr">
        <is>
          <t xml:space="preserve">Hello! How can we help you?  Report ابوناصر طارق المقاطي- : 66627244   Sent from my iPhone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t>
        </is>
      </c>
      <c r="E1301" s="7" t="inlineStr">
        <is>
          <t>66627244</t>
        </is>
      </c>
    </row>
    <row r="1302" ht="18" customHeight="1">
      <c r="A1302" s="2" t="inlineStr">
        <is>
          <t>TAREQ ALMEQATI &lt;tareqalmekati@gmail.com&gt;</t>
        </is>
      </c>
      <c r="B1302" s="3" t="inlineStr">
        <is>
          <t>tareqalmekati@gmail.com</t>
        </is>
      </c>
      <c r="C1302" s="2">
        <f>?utf-8?B?2KrYqNmE2YrYug==?=</f>
        <v/>
      </c>
      <c r="D1302" s="2" t="inlineStr">
        <is>
          <t>Hello! How can we help you?  Report طارق المقاطي- : 66627244  السلام عليكم ورحمة الله وبركاتة واسعد الله ايامكم بكل خير ارجو من حضرتم ازالة الرقم 66627244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302" s="4" t="inlineStr">
        <is>
          <t>66627244</t>
        </is>
      </c>
    </row>
    <row r="1303" ht="18" customHeight="1">
      <c r="A1303" s="5" t="inlineStr">
        <is>
          <t>TAREQ ALMEQATI &lt;tareqalmekati@gmail.com&gt;</t>
        </is>
      </c>
      <c r="B1303" s="6" t="inlineStr">
        <is>
          <t>tareqalmekati@gmail.com</t>
        </is>
      </c>
      <c r="C1303" s="5">
        <f>?utf-8?B?2K7Yt9ijINio2KfZhNin2LPZhQ==?=</f>
        <v/>
      </c>
      <c r="D1303" s="5" t="inlineStr">
        <is>
          <t>Hello! How can we help you?  Report طارق المقاطي بو ناصر- : 66627244  السلام عليكم ورحمة الله وبركاتة واسعد الله ايامكم بكل خير ارجو من حضرتم ازالة الرقم من محركات البحث لديكم  نهائيا ولا يتم البحث عن هذا الرقم وذلك لما سبب لنا ازعاج من بعض الاشخاص الغير مرغوب فيهم في حياتنا حيث ان هذا الرقم قديم ولا نستطيع تغييرة ولكم منا خالص التحية والتقدير  Sent from my iPhone</t>
        </is>
      </c>
      <c r="E1303" s="7" t="inlineStr">
        <is>
          <t>66627244</t>
        </is>
      </c>
    </row>
    <row r="1304" ht="18" customHeight="1">
      <c r="A1304" s="2" t="inlineStr">
        <is>
          <t>Hn An &lt;aeaxn.22@gmail.com&gt;</t>
        </is>
      </c>
      <c r="B1304" s="3" t="inlineStr">
        <is>
          <t>aeaxn.22@gmail.com</t>
        </is>
      </c>
      <c r="C1304" s="2" t="inlineStr">
        <is>
          <t>Delete the insult to number 65691000. The insult is from a trashy girl asking questions and leaving.</t>
        </is>
      </c>
      <c r="D1304" s="2" t="inlineStr">
        <is>
          <t>﻿ ﻿ Hello! How can we help you?  Report وزباله و بنت تسال و تشرد : 65691000   ‫أُرسلت من الـ iPhone‬</t>
        </is>
      </c>
      <c r="E1304" s="4" t="inlineStr">
        <is>
          <t>65691000</t>
        </is>
      </c>
    </row>
    <row r="1305" ht="18" customHeight="1">
      <c r="A1305" s="5" t="inlineStr">
        <is>
          <t>Hn An &lt;aeaxn.22@gmail.com&gt;</t>
        </is>
      </c>
      <c r="B1305" s="6" t="inlineStr">
        <is>
          <t>aeaxn.22@gmail.com</t>
        </is>
      </c>
      <c r="C1305" s="5">
        <f>?utf-8?B?2KfZhNiz2YTYp9mFINmI2KfZhNix2K3ZhdmHINmF2YXZg9mGINmF?=  =?utf-8?B?2LPYrSDYp9mE2KfYs9in2KbZhyDYudmE2Ykg2KfZhNix2YLZhSA2?=  =?utf-8?B?NTY5MTAwMC4gINi52YXZhNipINio2YTYp9i6INi52YTZiSDYp9mE?=  =?utf-8?B?2KfYs9in2KbZhyDZiNmE2YUg2KrZhdiz2K0gINin2YTZhNmHINmK?=  =?utf-8?B?2KzYstin2YPZhSDYrtmK2LEg2YrYp9mE2YrYqiDYqtmF2LPYrSA=?=  =?utf-8?B?2KfZhNin2LPYp9im2Ycg2YbZiNi5INin2YTYp9iz2KfYptmHINio?=  =?utf-8?B?2YbYqiDYstio2KfZhNmHINiq2LPYp9mEINmI2KrYtNix2K8g?=</f>
        <v/>
      </c>
      <c r="D1305" s="5" t="inlineStr">
        <is>
          <t xml:space="preserve"> ‫أُرسلت من الـ iPhone‬</t>
        </is>
      </c>
      <c r="E1305" s="7" t="inlineStr"/>
    </row>
    <row r="1306" ht="18" customHeight="1">
      <c r="A1306" s="2" t="inlineStr">
        <is>
          <t>Hn An &lt;aeaxn.22@gmail.com&gt;</t>
        </is>
      </c>
      <c r="B1306" s="3" t="inlineStr">
        <is>
          <t>aeaxn.22@gmail.com</t>
        </is>
      </c>
      <c r="C1306" s="2">
        <f>?utf-8?B?2KfZhNix2KzYp9ihINmF2LPYrSDYp9mE2KfYs9in2KbZhw==?=</f>
        <v/>
      </c>
      <c r="D1306" s="2" t="inlineStr">
        <is>
          <t>Hello! How can we help you?  Report وزباله و بنت تسال و تشرد : 65691000   ‫أُرسلت من الـ iPhone‬</t>
        </is>
      </c>
      <c r="E1306" s="4" t="inlineStr">
        <is>
          <t>65691000</t>
        </is>
      </c>
    </row>
    <row r="1307" ht="18" customHeight="1">
      <c r="A1307" s="5" t="inlineStr">
        <is>
          <t>Hn An &lt;aeaxn.22@gmail.com&gt;</t>
        </is>
      </c>
      <c r="B1307" s="6" t="inlineStr">
        <is>
          <t>aeaxn.22@gmail.com</t>
        </is>
      </c>
      <c r="C1307" s="5">
        <f>?utf-8?B?2KfZhNix2KzYp9ihINmF2LPYrSDYp9mE2KfYs9in2KbZhw==?=</f>
        <v/>
      </c>
      <c r="D1307" s="5" t="inlineStr">
        <is>
          <t>﻿ Hello! How can we help you?  Report وزباله و بنت تسال و تشرد : 65691000   ‫أُرسلت من الـ iPhone‬</t>
        </is>
      </c>
      <c r="E1307" s="7" t="inlineStr">
        <is>
          <t>65691000</t>
        </is>
      </c>
    </row>
    <row r="1308" ht="18" customHeight="1">
      <c r="A1308" s="2">
        <f>?utf-8?B?2KvZhtmK2KfZhiDZg9mG2YPZiNmG2Yo=?= &lt;thnyankankonii@gmail.com&gt;</f>
        <v/>
      </c>
      <c r="B1308" s="3" t="inlineStr">
        <is>
          <t>thnyankankonii@gmail.com</t>
        </is>
      </c>
      <c r="C1308" s="2" t="inlineStr">
        <is>
          <t>Remove my number</t>
        </is>
      </c>
      <c r="D1308" s="2" t="inlineStr">
        <is>
          <t>Hello! How can we help you?  Report يبي سعد شقه بجابر مع والدته 10/7/19 : 66222920   ‫أُرسلت من الـ iPhone‬</t>
        </is>
      </c>
      <c r="E1308" s="4" t="inlineStr">
        <is>
          <t>66222920</t>
        </is>
      </c>
    </row>
    <row r="1309" ht="18" customHeight="1">
      <c r="A1309" s="5" t="inlineStr">
        <is>
          <t>Hn An &lt;aeaxn.22@gmail.com&gt;</t>
        </is>
      </c>
      <c r="B1309" s="6" t="inlineStr">
        <is>
          <t>aeaxn.22@gmail.com</t>
        </is>
      </c>
      <c r="C1309" s="5" t="inlineStr">
        <is>
          <t>Delete the insult to number 65691000. The insult is from a trashy girl asking questions and leaving.</t>
        </is>
      </c>
      <c r="D1309" s="5" t="inlineStr">
        <is>
          <t>﻿ Hello! How can we help you?  Report وزباله و بنت تسال و تشرد : 65691000   ‫أُرسلت من الـ iPhone‬</t>
        </is>
      </c>
      <c r="E1309" s="7" t="inlineStr">
        <is>
          <t>65691000</t>
        </is>
      </c>
    </row>
    <row r="1310" ht="18" customHeight="1">
      <c r="A1310" s="2" t="inlineStr">
        <is>
          <t>Hn An &lt;aeaxn.22@gmail.com&gt;</t>
        </is>
      </c>
      <c r="B1310" s="3" t="inlineStr">
        <is>
          <t>aeaxn.22@gmail.com</t>
        </is>
      </c>
      <c r="C1310" s="2" t="inlineStr">
        <is>
          <t>Delete the insult to number 65691000. The insult is from a trashy girl asking questions and leaving.</t>
        </is>
      </c>
      <c r="D1310" s="2" t="inlineStr">
        <is>
          <t>﻿ Hello! How can we help you?  Report وزباله و بنت تسال و تشرد : 65691000   ‫أُرسلت من الـ iPhone‬</t>
        </is>
      </c>
      <c r="E1310" s="4" t="inlineStr">
        <is>
          <t>65691000</t>
        </is>
      </c>
    </row>
    <row r="1311" ht="18" customHeight="1">
      <c r="A1311" s="5" t="inlineStr">
        <is>
          <t>Hn An &lt;aeaxn.22@gmail.com&gt;</t>
        </is>
      </c>
      <c r="B1311" s="6" t="inlineStr">
        <is>
          <t>aeaxn.22@gmail.com</t>
        </is>
      </c>
      <c r="C1311" s="5" t="inlineStr">
        <is>
          <t>Delete the insult to number 65691000. The insult is from a trashy girl asking questions and leaving.</t>
        </is>
      </c>
      <c r="D1311" s="5" t="inlineStr">
        <is>
          <t>﻿ Hello! How can we help you?  Report وزباله و بنت تسال و تشرد : 65691000   ‫أُرسلت من الـ iPhone‬</t>
        </is>
      </c>
      <c r="E1311" s="7" t="inlineStr">
        <is>
          <t>65691000</t>
        </is>
      </c>
    </row>
    <row r="1312" ht="18" customHeight="1">
      <c r="A1312" s="2" t="inlineStr">
        <is>
          <t>Hn An &lt;aeaxn.22@gmail.com&gt;</t>
        </is>
      </c>
      <c r="B1312" s="3" t="inlineStr">
        <is>
          <t>aeaxn.22@gmail.com</t>
        </is>
      </c>
      <c r="C1312" s="2" t="inlineStr">
        <is>
          <t>Delete the insult to number 65691000. The insult is from a trashy girl asking questions and leaving.</t>
        </is>
      </c>
      <c r="D1312" s="2" t="inlineStr">
        <is>
          <t>﻿ Hello! How can we help you?  Report وزباله و بنت تسال و تشرد : 65691000   ‫أُرسلت من الـ iPhone‬</t>
        </is>
      </c>
      <c r="E1312" s="4" t="inlineStr">
        <is>
          <t>65691000</t>
        </is>
      </c>
    </row>
    <row r="1313" ht="18" customHeight="1">
      <c r="A1313" s="5" t="inlineStr">
        <is>
          <t>Hn An &lt;aeaxn.22@gmail.com&gt;</t>
        </is>
      </c>
      <c r="B1313" s="6" t="inlineStr">
        <is>
          <t>aeaxn.22@gmail.com</t>
        </is>
      </c>
      <c r="C1313" s="5" t="inlineStr">
        <is>
          <t>Delete the insult to number 65691000. The insult is from a trashy girl asking questions and leaving.</t>
        </is>
      </c>
      <c r="D1313" s="5" t="inlineStr">
        <is>
          <t>﻿ Hello! How can we help you?  Report وزباله و بنت تسال و تشرد : 65691000   ‫أُرسلت من الـ iPhone‬</t>
        </is>
      </c>
      <c r="E1313" s="7" t="inlineStr">
        <is>
          <t>65691000</t>
        </is>
      </c>
    </row>
    <row r="1314" ht="18" customHeight="1">
      <c r="A1314" s="2" t="inlineStr">
        <is>
          <t>Hn An &lt;aeaxn.22@gmail.com&gt;</t>
        </is>
      </c>
      <c r="B1314" s="3" t="inlineStr">
        <is>
          <t>aeaxn.22@gmail.com</t>
        </is>
      </c>
      <c r="C1314" s="2" t="inlineStr">
        <is>
          <t>Delete the insult to number 65691000. The insult is from a trashy girl asking questions and leaving.</t>
        </is>
      </c>
      <c r="D1314" s="2" t="inlineStr">
        <is>
          <t>﻿ Hello! How can we help you?  Report وزباله و بنت تسال و تشرد : 65691000   ‫أُرسلت من الـ iPhone‬</t>
        </is>
      </c>
      <c r="E1314" s="4" t="inlineStr">
        <is>
          <t>65691000</t>
        </is>
      </c>
    </row>
    <row r="1315" ht="18" customHeight="1">
      <c r="A1315" s="5" t="inlineStr">
        <is>
          <t>Tota Alm &lt;tweeetyq8@gmail.com&gt;</t>
        </is>
      </c>
      <c r="B1315" s="6" t="inlineStr">
        <is>
          <t>tweeetyq8@gmail.com</t>
        </is>
      </c>
      <c r="C1315" s="5" t="inlineStr"/>
      <c r="D1315" s="5" t="inlineStr">
        <is>
          <t>Hello! How can we help you?  Report تبي لوفلي- : 55110019   Sent from my iPhone  اساءة</t>
        </is>
      </c>
      <c r="E1315" s="7" t="inlineStr">
        <is>
          <t>55110019</t>
        </is>
      </c>
    </row>
    <row r="1316" ht="18" customHeight="1">
      <c r="A1316" s="2" t="inlineStr">
        <is>
          <t>BAKR AHMED &lt;bakrahmed283@yahoo.com&gt;</t>
        </is>
      </c>
      <c r="B1316" s="3" t="inlineStr">
        <is>
          <t>bakrahmed283@yahoo.com</t>
        </is>
      </c>
      <c r="C1316" s="2" t="inlineStr"/>
      <c r="D1316" s="2" t="inlineStr">
        <is>
          <t>Hello! How can we help you?  Report Flaaaat- : 50804579   Sent from my iPhone</t>
        </is>
      </c>
      <c r="E1316" s="4" t="inlineStr">
        <is>
          <t>50804579</t>
        </is>
      </c>
    </row>
    <row r="1317" ht="18" customHeight="1">
      <c r="A1317" s="5" t="inlineStr">
        <is>
          <t>Ahmed Nur &lt;Ahmednur96@outlook.com&gt;</t>
        </is>
      </c>
      <c r="B1317" s="6" t="inlineStr">
        <is>
          <t>Ahmednur96@outlook.com</t>
        </is>
      </c>
      <c r="C1317" s="5" t="inlineStr"/>
      <c r="D1317" s="5" t="inlineStr">
        <is>
          <t xml:space="preserve">Hello! How can we help you?  Report احمد الصومالي عائله : 55151456 </t>
        </is>
      </c>
      <c r="E1317" s="7" t="inlineStr">
        <is>
          <t>55151456</t>
        </is>
      </c>
    </row>
    <row r="1318" ht="18" customHeight="1">
      <c r="A1318" s="2" t="inlineStr">
        <is>
          <t>Ahmed Nur &lt;Ahmednur96@outlook.com&gt;</t>
        </is>
      </c>
      <c r="B1318" s="3" t="inlineStr">
        <is>
          <t>Ahmednur96@outlook.com</t>
        </is>
      </c>
      <c r="C1318" s="2" t="inlineStr"/>
      <c r="D1318" s="2" t="inlineStr">
        <is>
          <t xml:space="preserve">Hello! How can we help you?  Report Baby Boy : 55151456 </t>
        </is>
      </c>
      <c r="E1318" s="4" t="inlineStr">
        <is>
          <t>55151456</t>
        </is>
      </c>
    </row>
    <row r="1319" ht="18" customHeight="1">
      <c r="A1319" s="5" t="inlineStr">
        <is>
          <t>manahi alotaibi &lt;manahi_q8@live.com&gt;</t>
        </is>
      </c>
      <c r="B1319" s="6" t="inlineStr">
        <is>
          <t>manahi_q8@live.com</t>
        </is>
      </c>
      <c r="C1319" s="5" t="inlineStr"/>
      <c r="D1319" s="5" t="inlineStr">
        <is>
          <t xml:space="preserve">Hello! How can we help you?  Report ابو محمد الفحيحيل قطعة 3 ش 1 منزل 149 : 99444029  ‫أُرسلت من الـ iPhone‬ </t>
        </is>
      </c>
      <c r="E1319" s="7" t="inlineStr">
        <is>
          <t>99444029</t>
        </is>
      </c>
    </row>
    <row r="1320" ht="18" customHeight="1">
      <c r="A1320" s="2" t="inlineStr">
        <is>
          <t>Naser Safar &lt;nfakwt@hotmail.com&gt;</t>
        </is>
      </c>
      <c r="B1320" s="3" t="inlineStr">
        <is>
          <t>nfakwt@hotmail.com</t>
        </is>
      </c>
      <c r="C1320" s="2" t="inlineStr"/>
      <c r="D1320" s="2" t="inlineStr">
        <is>
          <t xml:space="preserve">Hello! How can we help you?  Report Fatma ❤️‍ : 96096065  ‫أُرسلت من الـ iPhone‬ </t>
        </is>
      </c>
      <c r="E1320" s="4" t="inlineStr">
        <is>
          <t>96096065</t>
        </is>
      </c>
    </row>
    <row r="1321" ht="18" customHeight="1">
      <c r="A1321" s="5" t="inlineStr">
        <is>
          <t>Soud alanzy &lt;sal3nzy.501@icloud.com&gt;</t>
        </is>
      </c>
      <c r="B1321" s="6" t="inlineStr">
        <is>
          <t>sal3nzy.501@icloud.com</t>
        </is>
      </c>
      <c r="C1321" s="5">
        <f>?utf-8?B?2K3YsNmBINin2YTYsdmC2YUg?=</f>
        <v/>
      </c>
      <c r="D1321" s="5" t="inlineStr">
        <is>
          <t>Hello! How can we help you?  Report ابو عبدالله سعود العنزي مسجد زيد : 50712381   ‫أُرسلت من الـ iPhone‬</t>
        </is>
      </c>
      <c r="E1321" s="7" t="inlineStr">
        <is>
          <t>50712381</t>
        </is>
      </c>
    </row>
    <row r="1322" ht="18" customHeight="1">
      <c r="A1322" s="2" t="inlineStr">
        <is>
          <t>f alajmi &lt;f92xq8@gmail.com&gt;</t>
        </is>
      </c>
      <c r="B1322" s="3" t="inlineStr">
        <is>
          <t>f92xq8@gmail.com</t>
        </is>
      </c>
      <c r="C1322" s="2">
        <f>?utf-8?B?2K3YsNmBINin2YTYp9iz2YUg?=</f>
        <v/>
      </c>
      <c r="D1322" s="2" t="inlineStr">
        <is>
          <t>Hello! How can we help you?  الرجاء حذف الاسم   Report أم فجوور غرفتين الرقه : 95594457    Sent from my iPhone</t>
        </is>
      </c>
      <c r="E1322" s="4" t="inlineStr">
        <is>
          <t>95594457</t>
        </is>
      </c>
    </row>
    <row r="1323" ht="18" customHeight="1">
      <c r="A1323" s="5" t="inlineStr">
        <is>
          <t>Abdullah Alazmi &lt;Alburaikiq8@hotmail.com&gt;</t>
        </is>
      </c>
      <c r="B1323" s="6" t="inlineStr">
        <is>
          <t>Alburaikiq8@hotmail.com</t>
        </is>
      </c>
      <c r="C1323" s="5" t="inlineStr"/>
      <c r="D1323" s="5" t="inlineStr">
        <is>
          <t xml:space="preserve">Hello! How can we help you?  Report عبدالله حامد المجليه ( الهندي ) : 96011221  Sent from my iPhone </t>
        </is>
      </c>
      <c r="E1323" s="7" t="inlineStr">
        <is>
          <t>96011221</t>
        </is>
      </c>
    </row>
    <row r="1324" ht="18" customHeight="1">
      <c r="A1324" s="2" t="inlineStr">
        <is>
          <t>Aisha Almubarak &lt;aisha.almubarak@gmail.com&gt;</t>
        </is>
      </c>
      <c r="B1324" s="3" t="inlineStr">
        <is>
          <t>aisha.almubarak@gmail.com</t>
        </is>
      </c>
      <c r="C1324" s="2">
        <f>?utf-8?B?UmU6INil2KjZhNin2Log2LnZhiDYp9iz2YUg2YXYs9is2YQg?=</f>
        <v/>
      </c>
      <c r="D1324" s="2" t="inlineStr">
        <is>
          <t xml:space="preserve"> An inappropriate name has been registered under this number. This is the name. Please delete it. The name ( عايشة المبارك عند حمود ) The number 99853892  Thank you   &gt; On 8 Oct 2025, at 1:37 PM, Aisha Almubarak &lt;aisha.almubarak@gmail.com&gt; wrote: &gt;  &gt; ﻿ &gt; Hello! How can we help you? &gt;  &gt; Report عايشة المبارك عند حمود : 99853892 &gt;  &gt; هذا الاسم ليش جذي ! غلط و أدبيا ما يصير  &gt; Sent from my iPhone </t>
        </is>
      </c>
      <c r="E1324" s="4" t="inlineStr">
        <is>
          <t>99853892</t>
        </is>
      </c>
    </row>
    <row r="1325" ht="18" customHeight="1">
      <c r="A1325" s="5" t="inlineStr">
        <is>
          <t>Fahad Albuti &lt;fahadalbuti45@gmail.com&gt;</t>
        </is>
      </c>
      <c r="B1325" s="6" t="inlineStr">
        <is>
          <t>fahadalbuti45@gmail.com</t>
        </is>
      </c>
      <c r="C1325" s="5">
        <f>?utf-8?Q?=E2=AD=95=EF=B8=8F_DELETE_THIS_NAME_PLEASE_?=  =?utf-8?Q?=E2=AD=95=EF=B8=8F?=</f>
        <v/>
      </c>
      <c r="D1325" s="5" t="inlineStr">
        <is>
          <t>Hello! How can we help you?  Report فهد 12 ع كمان البذال : 99132139  ⭕️ DELETE THIS NAME PLEASE ⭕️ Sent from my iPhone</t>
        </is>
      </c>
      <c r="E1325" s="7" t="inlineStr">
        <is>
          <t>99132139</t>
        </is>
      </c>
    </row>
    <row r="1326" ht="18" customHeight="1">
      <c r="A1326" s="2" t="inlineStr">
        <is>
          <t>Fahad Albuti &lt;fahadalbuti45@gmail.com&gt;</t>
        </is>
      </c>
      <c r="B1326" s="3" t="inlineStr">
        <is>
          <t>fahadalbuti45@gmail.com</t>
        </is>
      </c>
      <c r="C1326" s="2">
        <f>?utf-8?Q?=E2=AD=95=EF=B8=8F_DELETE_THIS_NAME_PLEASE_?=  =?utf-8?Q?=E2=AD=95=EF=B8=8F?=</f>
        <v/>
      </c>
      <c r="D1326" s="2" t="inlineStr">
        <is>
          <t>Hello! How can we help you?  Report 1500 لقرطبه انتظار : 99132139  ⭕️ DELETE THIS NAME PLEASE ⭕️ Sent from my iPhone</t>
        </is>
      </c>
      <c r="E1326" s="4" t="inlineStr">
        <is>
          <t>99132139</t>
        </is>
      </c>
    </row>
    <row r="1327" ht="18" customHeight="1">
      <c r="A1327" s="5" t="inlineStr">
        <is>
          <t>Fahad Albuti &lt;fahadalbuti45@gmail.com&gt;</t>
        </is>
      </c>
      <c r="B1327" s="6" t="inlineStr">
        <is>
          <t>fahadalbuti45@gmail.com</t>
        </is>
      </c>
      <c r="C1327" s="5">
        <f>?utf-8?Q?=E2=AD=95=EF=B8=8F_DELETE_THIS_NAME_PLEASE_?=  =?utf-8?Q?=E2=AD=95=EF=B8=8F?=</f>
        <v/>
      </c>
      <c r="D1327" s="5" t="inlineStr">
        <is>
          <t>Hello! How can we help you?  Report فهد البطي يبي بيت العديلية ولد ام محمد : 99132139  ⭕️ DELETE THIS NAME PLEASE ⭕️ Sent from my iPhone</t>
        </is>
      </c>
      <c r="E1327" s="7" t="inlineStr">
        <is>
          <t>99132139</t>
        </is>
      </c>
    </row>
    <row r="1328" ht="18" customHeight="1">
      <c r="A1328" s="2" t="inlineStr">
        <is>
          <t>Yoyo wlhgd &lt;y.nbk@icloud.com&gt;</t>
        </is>
      </c>
      <c r="B1328" s="3" t="inlineStr">
        <is>
          <t>y.nbk@icloud.com</t>
        </is>
      </c>
      <c r="C1328" s="2">
        <f>?utf-8?B?2KfYs9in2KHYqSDYp9mE2LHYrNin2KEg2K3YsNmBINin2YTYqti5?=  =?utf-8?B?2YTZitmCINmH2KfYp9mFINis2K/Ypw==?=</f>
        <v/>
      </c>
      <c r="D1328" s="2" t="inlineStr">
        <is>
          <t>Hello! How can we help you?  Report رنج2014 101 6 سلندر احمر : 97978384   ‫أُرسلت من الـ iPhone‬</t>
        </is>
      </c>
      <c r="E1328" s="4" t="inlineStr">
        <is>
          <t>97978384</t>
        </is>
      </c>
    </row>
    <row r="1329" ht="18" customHeight="1">
      <c r="A1329" s="5" t="inlineStr">
        <is>
          <t>Yoyo wlhgd &lt;y.nbk@icloud.com&gt;</t>
        </is>
      </c>
      <c r="B1329" s="6" t="inlineStr">
        <is>
          <t>y.nbk@icloud.com</t>
        </is>
      </c>
      <c r="C1329" s="5">
        <f>?utf-8?B?2KfYs9in2KHYqSDYp9mE2LHYrNin2KEg2K3YsNmBINin2YTYqti5?=  =?utf-8?B?2YTZitmCINmH2KfYp9mFINis2K/Ypw==?=</f>
        <v/>
      </c>
      <c r="D1329" s="5" t="inlineStr">
        <is>
          <t>Hello! How can we help you?  Report رنج2014 101 6 سلندر احمر : 97978384   ‫أُرسلت من الـ iPhone‬</t>
        </is>
      </c>
      <c r="E1329" s="7" t="inlineStr">
        <is>
          <t>97978384</t>
        </is>
      </c>
    </row>
    <row r="1330" ht="18" customHeight="1">
      <c r="A1330" s="2" t="inlineStr">
        <is>
          <t>Yoyo wlhgd &lt;y.nbk@icloud.com&gt;</t>
        </is>
      </c>
      <c r="B1330" s="3" t="inlineStr">
        <is>
          <t>y.nbk@icloud.com</t>
        </is>
      </c>
      <c r="C1330" s="2">
        <f>?utf-8?B?2KfYs9in2KHYqSDYp9mE2LHYrNin2KEg2K3YsNmBINin2YTYqti5?=  =?utf-8?B?2YTZitmCINmH2KfYp9mFINis2K/Ypw==?=</f>
        <v/>
      </c>
      <c r="D1330" s="2" t="inlineStr">
        <is>
          <t>Hello! How can we help you?  Report رنج2014 101 6 سلندر احمر : 97978384   ‫أُرسلت من الـ iPhone‬</t>
        </is>
      </c>
      <c r="E1330" s="4" t="inlineStr">
        <is>
          <t>97978384</t>
        </is>
      </c>
    </row>
    <row r="1331" ht="18" customHeight="1">
      <c r="A1331" s="5" t="inlineStr">
        <is>
          <t>salim al harpy &lt;solom999@hotmail.com&gt;</t>
        </is>
      </c>
      <c r="B1331" s="6" t="inlineStr">
        <is>
          <t>solom999@hotmail.com</t>
        </is>
      </c>
      <c r="C1331" s="5">
        <f>?utf-8?B?2YXZhtmIINiv2KfZgg==?=</f>
        <v/>
      </c>
      <c r="D1331" s="5" t="inlineStr">
        <is>
          <t xml:space="preserve">السلام عليكم ورحمة الله وبركاته  هل يتم تحديث الاسماء باستمرار ام لا  وهل يتم تحديث للبرنامج ام مازال لايوجد له تحديث  وشكرا  ‏👍👍 </t>
        </is>
      </c>
      <c r="E1331" s="7" t="inlineStr"/>
    </row>
    <row r="1332" ht="18" customHeight="1">
      <c r="A1332" s="2" t="inlineStr">
        <is>
          <t>Al Anezi &lt;eyada_anezi@yahoo.com&gt;</t>
        </is>
      </c>
      <c r="B1332" s="3" t="inlineStr">
        <is>
          <t>eyada_anezi@yahoo.com</t>
        </is>
      </c>
      <c r="C1332" s="2">
        <f>?utf-8?Q?Re:_65691000_=D8=AA=D8=A8=D9=84=D9=8A=D8=BA_=D8=B9?=  =?utf-8?Q?=D9=86_=D9=85=D8=B3=D9=8A=D8=A6?=</f>
        <v/>
      </c>
      <c r="D1332" s="2" t="inlineStr">
        <is>
          <t xml:space="preserve">للتذكير   &gt; On 10 Oct 2025, at 2:24 AM, Al Anezi &lt;eyada_anezi@yahoo.com&gt; wrote: &gt;  &gt; ﻿ &gt; ارجوا ازالة الرقم المسيئ اللي موجود في الاميل تحت  من حسابي، إلى الان الرقم موجود  &gt;  &gt;&gt;&gt; On 28 Mar 2025, at 1:32 AM, Al Anezi &lt;eyada_anezi@yahoo.com&gt; wrote: &gt;&gt;&gt;  &gt;&gt; ﻿ &gt;&gt; Regards, &gt;&gt;  &gt;&gt; Eyada Al-anezi &gt;&gt; (Sent From My iPhone) &gt;&gt;  &gt;&gt;&gt;&gt; On 21 Mar 2025, at 10:44 AM, Al Anezi &lt;eyada_anezi@yahoo.com&gt; wrote: &gt;&gt;&gt;&gt;  &gt;&gt;&gt; ﻿ &gt;&gt;&gt; Repor وزبالة وبنت تسال وتشرد - : 65691000 &gt;&gt;&gt;&gt; ارجو ازالة هذى  الرقم أو الاسم من البحث على حسابي لما في اسائه لي ولي عائلتي.  &gt;&gt;&gt;&gt;  &gt;&gt;&gt; شكرا مقدما  &gt;&gt;&gt; صاحبت الحساب حنان ام نايف &gt;&gt;&gt;  </t>
        </is>
      </c>
      <c r="E1332" s="4" t="inlineStr">
        <is>
          <t>65691000</t>
        </is>
      </c>
    </row>
    <row r="1333" ht="18" customHeight="1">
      <c r="A1333" s="5">
        <f>?utf-8?B?2LPYp9ix2Ycg2KfZhNi52KzZhdmK?= &lt;salajmie@icloud.com&gt;</f>
        <v/>
      </c>
      <c r="B1333" s="6" t="inlineStr">
        <is>
          <t>salajmie@icloud.com</t>
        </is>
      </c>
      <c r="C1333" s="5">
        <f>?utf-8?B?2KfZhNix2KzYp9ihINin2LLYp9mE2Kkg2LHZgtmF2Yog2YTYp9mG?=  =?utf-8?B?2Ycg2YrZiNis2K8g2YHZitmHINi52YbZiNin2YYg2YXZhtiy2YQ=?=  =?utf-8?B?2Yog?=</f>
        <v/>
      </c>
      <c r="D1333" s="5" t="inlineStr">
        <is>
          <t>Hello! How can we help you?  Report اشبليه ق 4 ش : 66022752   ‫أُرسلت من الـ iPhone‬</t>
        </is>
      </c>
      <c r="E1333" s="7" t="inlineStr">
        <is>
          <t>66022752</t>
        </is>
      </c>
    </row>
    <row r="1334" ht="18" customHeight="1">
      <c r="A1334" s="2" t="inlineStr">
        <is>
          <t>Hn An &lt;aeaxn.22@gmail.com&gt;</t>
        </is>
      </c>
      <c r="B1334" s="3" t="inlineStr">
        <is>
          <t>aeaxn.22@gmail.com</t>
        </is>
      </c>
      <c r="C1334" s="2" t="inlineStr">
        <is>
          <t>Delete the insult to number 65691000. The insult is from a trashy girl asking questions and leaving.</t>
        </is>
      </c>
      <c r="D1334" s="2" t="inlineStr">
        <is>
          <t>﻿ Hello! How can we help you?  Report وزباله و بنت تسال و تشرد : 65691000   ‫أُرسلت من الـ iPhone‬</t>
        </is>
      </c>
      <c r="E1334" s="4" t="inlineStr">
        <is>
          <t>65691000</t>
        </is>
      </c>
    </row>
    <row r="1335" ht="18" customHeight="1">
      <c r="A1335" s="5" t="inlineStr">
        <is>
          <t>Hn An &lt;aeaxn.22@gmail.com&gt;</t>
        </is>
      </c>
      <c r="B1335" s="6" t="inlineStr">
        <is>
          <t>aeaxn.22@gmail.com</t>
        </is>
      </c>
      <c r="C1335" s="5" t="inlineStr">
        <is>
          <t>Delete the insult to number 65691000. The insult is from a trashy girl asking questions and leaving.</t>
        </is>
      </c>
      <c r="D1335" s="5" t="inlineStr">
        <is>
          <t>﻿ Hello! How can we help you?  Report وزباله و بنت تسال و تشرد : 65691000   ‫أُرسلت من الـ iPhone‬</t>
        </is>
      </c>
      <c r="E1335" s="7" t="inlineStr">
        <is>
          <t>65691000</t>
        </is>
      </c>
    </row>
    <row r="1336" ht="18" customHeight="1">
      <c r="A1336" s="2" t="inlineStr">
        <is>
          <t>Hn An &lt;aeaxn.22@gmail.com&gt;</t>
        </is>
      </c>
      <c r="B1336" s="3" t="inlineStr">
        <is>
          <t>aeaxn.22@gmail.com</t>
        </is>
      </c>
      <c r="C1336" s="2" t="inlineStr">
        <is>
          <t>Delete the insult to number 65691000. The insult is from a trashy girl asking questions and leaving.</t>
        </is>
      </c>
      <c r="D1336" s="2" t="inlineStr">
        <is>
          <t>﻿ Hello! How can we help you?  Report وزباله و بنت تسال و تشرد : 65691000   ‫أُرسلت من الـ iPhone‬</t>
        </is>
      </c>
      <c r="E1336" s="4" t="inlineStr">
        <is>
          <t>65691000</t>
        </is>
      </c>
    </row>
    <row r="1337" ht="18" customHeight="1">
      <c r="A1337" s="5" t="inlineStr">
        <is>
          <t>Hn An &lt;aeaxn.22@gmail.com&gt;</t>
        </is>
      </c>
      <c r="B1337" s="6" t="inlineStr">
        <is>
          <t>aeaxn.22@gmail.com</t>
        </is>
      </c>
      <c r="C1337" s="5" t="inlineStr">
        <is>
          <t>Delete the insult to number 65691000. The insult is from a trashy girl asking questions and leaving.</t>
        </is>
      </c>
      <c r="D1337" s="5" t="inlineStr">
        <is>
          <t>﻿ Hello! How can we help you?  Report وزباله و بنت تسال و تشرد : 65691000   ‫أُرسلت من الـ iPhone‬</t>
        </is>
      </c>
      <c r="E1337" s="7" t="inlineStr">
        <is>
          <t>65691000</t>
        </is>
      </c>
    </row>
    <row r="1338" ht="18" customHeight="1">
      <c r="A1338" s="2" t="inlineStr">
        <is>
          <t>Hn An &lt;aeaxn.22@gmail.com&gt;</t>
        </is>
      </c>
      <c r="B1338" s="3" t="inlineStr">
        <is>
          <t>aeaxn.22@gmail.com</t>
        </is>
      </c>
      <c r="C1338" s="2" t="inlineStr">
        <is>
          <t>Delete the insult to number 65691000. The insult is from a trashy girl asking questions and leaving.</t>
        </is>
      </c>
      <c r="D1338" s="2" t="inlineStr">
        <is>
          <t>Hello! How can we help you?  Report وزباله و بنت تسال و تشرد : 65691000   ‫أُرسلت من الـ iPhone‬</t>
        </is>
      </c>
      <c r="E1338" s="4" t="inlineStr">
        <is>
          <t>65691000</t>
        </is>
      </c>
    </row>
    <row r="1339" ht="18" customHeight="1">
      <c r="A1339" s="5" t="inlineStr">
        <is>
          <t>Hn An &lt;aeaxn.22@gmail.com&gt;</t>
        </is>
      </c>
      <c r="B1339" s="6" t="inlineStr">
        <is>
          <t>aeaxn.22@gmail.com</t>
        </is>
      </c>
      <c r="C1339" s="5" t="inlineStr">
        <is>
          <t>Delete the insult to number 65691000. The insult is from a trashy girl asking questions and leaving.</t>
        </is>
      </c>
      <c r="D1339" s="5" t="inlineStr">
        <is>
          <t>Hello! How can we help you?  Report وزباله و بنت تسال و تشرد : 65691000   ‫أُرسلت من الـ iPhone‬</t>
        </is>
      </c>
      <c r="E1339" s="7" t="inlineStr">
        <is>
          <t>65691000</t>
        </is>
      </c>
    </row>
    <row r="1340" ht="18" customHeight="1">
      <c r="A1340" s="2" t="inlineStr">
        <is>
          <t>Hn An &lt;aeaxn.22@gmail.com&gt;</t>
        </is>
      </c>
      <c r="B1340" s="3" t="inlineStr">
        <is>
          <t>aeaxn.22@gmail.com</t>
        </is>
      </c>
      <c r="C1340" s="2" t="inlineStr">
        <is>
          <t>Delete the insult to number 65691000. The insult is from a trashy girl asking questions and leaving.</t>
        </is>
      </c>
      <c r="D1340" s="2" t="inlineStr">
        <is>
          <t>Hello! How can we help you?  Report وزباله و بنت تسال و تشرد : 65691000   ‫أُرسلت من الـ iPhone‬</t>
        </is>
      </c>
      <c r="E1340" s="4" t="inlineStr">
        <is>
          <t>65691000</t>
        </is>
      </c>
    </row>
    <row r="1341" ht="18" customHeight="1">
      <c r="A1341" s="5" t="inlineStr">
        <is>
          <t>Hn An &lt;aeaxn.22@gmail.com&gt;</t>
        </is>
      </c>
      <c r="B1341" s="6" t="inlineStr">
        <is>
          <t>aeaxn.22@gmail.com</t>
        </is>
      </c>
      <c r="C1341" s="5" t="inlineStr">
        <is>
          <t>Delete the insult to number 65691000. The insult is from a trashy girl asking questions and leaving.</t>
        </is>
      </c>
      <c r="D1341" s="5" t="inlineStr">
        <is>
          <t>Hello! How can we help you?  Report وزباله و بنت تسال و تشرد : 65691000   ‫أُرسلت من الـ iPhone‬</t>
        </is>
      </c>
      <c r="E1341" s="7" t="inlineStr">
        <is>
          <t>65691000</t>
        </is>
      </c>
    </row>
    <row r="1342" ht="18" customHeight="1">
      <c r="A1342" s="2" t="inlineStr">
        <is>
          <t>Hn An &lt;aeaxn.22@gmail.com&gt;</t>
        </is>
      </c>
      <c r="B1342" s="3" t="inlineStr">
        <is>
          <t>aeaxn.22@gmail.com</t>
        </is>
      </c>
      <c r="C1342" s="2" t="inlineStr">
        <is>
          <t>Delete the insult to number 65691000. The insult is from a trashy girl asking questions and leaving.</t>
        </is>
      </c>
      <c r="D1342" s="2" t="inlineStr">
        <is>
          <t>Hello! How can we help you?  Report وزباله و بنت تسال و تشرد : 65691000   ‫أُرسلت من الـ iPhone‬</t>
        </is>
      </c>
      <c r="E1342" s="4" t="inlineStr">
        <is>
          <t>65691000</t>
        </is>
      </c>
    </row>
    <row r="1343" ht="18" customHeight="1">
      <c r="A1343" s="5" t="inlineStr">
        <is>
          <t>Hn An &lt;aeaxn.22@gmail.com&gt;</t>
        </is>
      </c>
      <c r="B1343" s="6" t="inlineStr">
        <is>
          <t>aeaxn.22@gmail.com</t>
        </is>
      </c>
      <c r="C1343" s="5" t="inlineStr">
        <is>
          <t>Delete the insult to number 65691000. The insult is from a trashy girl asking questions and leaving.</t>
        </is>
      </c>
      <c r="D1343" s="5" t="inlineStr">
        <is>
          <t>Hello! How can we help you?  Report وزباله و بنت تسال و تشرد : 65691000   ‫أُرسلت من الـ iPhone‬</t>
        </is>
      </c>
      <c r="E1343" s="7" t="inlineStr">
        <is>
          <t>65691000</t>
        </is>
      </c>
    </row>
    <row r="1344" ht="18" customHeight="1">
      <c r="A1344" s="2" t="inlineStr">
        <is>
          <t>Hn An &lt;aeaxn.22@gmail.com&gt;</t>
        </is>
      </c>
      <c r="B1344" s="3" t="inlineStr">
        <is>
          <t>aeaxn.22@gmail.com</t>
        </is>
      </c>
      <c r="C1344" s="2" t="inlineStr">
        <is>
          <t>Delete the insult to number 65691000. The insult is from a trashy girl asking questions and leaving.</t>
        </is>
      </c>
      <c r="D1344" s="2" t="inlineStr">
        <is>
          <t>Hello! How can we help you?  Report وزباله و بنت تسال و تشرد : 65691000   ‫أُرسلت من الـ iPhone‬</t>
        </is>
      </c>
      <c r="E1344" s="4" t="inlineStr">
        <is>
          <t>65691000</t>
        </is>
      </c>
    </row>
    <row r="1345" ht="18" customHeight="1">
      <c r="A1345" s="5" t="inlineStr">
        <is>
          <t>Hn An &lt;aeaxn.22@gmail.com&gt;</t>
        </is>
      </c>
      <c r="B1345" s="6" t="inlineStr">
        <is>
          <t>aeaxn.22@gmail.com</t>
        </is>
      </c>
      <c r="C1345" s="5" t="inlineStr">
        <is>
          <t>Delete the insult to number 65691000. The insult is from a trashy girl asking questions and leaving.</t>
        </is>
      </c>
      <c r="D1345" s="5" t="inlineStr">
        <is>
          <t>Hello! How can we help you?  Report وزباله و بنت تسال و تشرد : 65691000   ‫أُرسلت من الـ iPhone‬</t>
        </is>
      </c>
      <c r="E1345" s="7" t="inlineStr">
        <is>
          <t>65691000</t>
        </is>
      </c>
    </row>
    <row r="1346" ht="18" customHeight="1">
      <c r="A1346" s="2" t="inlineStr">
        <is>
          <t>Hn An &lt;aeaxn.22@gmail.com&gt;</t>
        </is>
      </c>
      <c r="B1346" s="3" t="inlineStr">
        <is>
          <t>aeaxn.22@gmail.com</t>
        </is>
      </c>
      <c r="C1346" s="2" t="inlineStr">
        <is>
          <t>Delete the insult to number 65691000. The insult is from a trashy girl asking questions and leaving.</t>
        </is>
      </c>
      <c r="D1346" s="2" t="inlineStr">
        <is>
          <t>Hello! How can we help you?  Report وزباله و بنت تسال و تشرد : 65691000   ‫أُرسلت من الـ iPhone‬</t>
        </is>
      </c>
      <c r="E1346" s="4" t="inlineStr">
        <is>
          <t>65691000</t>
        </is>
      </c>
    </row>
    <row r="1347" ht="18" customHeight="1">
      <c r="A1347" s="5" t="inlineStr">
        <is>
          <t>Hn An &lt;aeaxn.22@gmail.com&gt;</t>
        </is>
      </c>
      <c r="B1347" s="6" t="inlineStr">
        <is>
          <t>aeaxn.22@gmail.com</t>
        </is>
      </c>
      <c r="C1347" s="5" t="inlineStr">
        <is>
          <t>Delete the insult to number 65691000. The insult is from a trashy girl asking questions and leaving.</t>
        </is>
      </c>
      <c r="D1347" s="5" t="inlineStr">
        <is>
          <t>Hello! How can we help you?  Report وزباله و بنت تسال و تشرد : 65691000   ‫أُرسلت من الـ iPhone‬</t>
        </is>
      </c>
      <c r="E1347" s="7" t="inlineStr">
        <is>
          <t>65691000</t>
        </is>
      </c>
    </row>
    <row r="1348" ht="18" customHeight="1">
      <c r="A1348" s="2" t="inlineStr">
        <is>
          <t>Hn An &lt;aeaxn.22@gmail.com&gt;</t>
        </is>
      </c>
      <c r="B1348" s="3" t="inlineStr">
        <is>
          <t>aeaxn.22@gmail.com</t>
        </is>
      </c>
      <c r="C1348" s="2" t="inlineStr">
        <is>
          <t>Delete the insult to number 65691000. The insult is from a trashy girl asking questions and leaving.</t>
        </is>
      </c>
      <c r="D1348" s="2" t="inlineStr">
        <is>
          <t>Hello! How can we help you?  Report وزباله و بنت تسال و تشرد : 65691000   ‫أُرسلت من الـ iPhone‬</t>
        </is>
      </c>
      <c r="E1348" s="4" t="inlineStr">
        <is>
          <t>65691000</t>
        </is>
      </c>
    </row>
    <row r="1349" ht="18" customHeight="1">
      <c r="A1349" s="5" t="inlineStr">
        <is>
          <t>Hn An &lt;aeaxn.22@gmail.com&gt;</t>
        </is>
      </c>
      <c r="B1349" s="6" t="inlineStr">
        <is>
          <t>aeaxn.22@gmail.com</t>
        </is>
      </c>
      <c r="C1349" s="5" t="inlineStr">
        <is>
          <t>Delete the insult to number 65691000. The insult is from a trashy girl asking questions and leaving.</t>
        </is>
      </c>
      <c r="D1349" s="5" t="inlineStr">
        <is>
          <t>Hello! How can we help you?  Report وزباله و بنت تسال و تشرد : 65691000   ‫أُرسلت من الـ iPhone‬</t>
        </is>
      </c>
      <c r="E1349" s="7" t="inlineStr">
        <is>
          <t>65691000</t>
        </is>
      </c>
    </row>
    <row r="1350" ht="18" customHeight="1">
      <c r="A1350" s="2" t="inlineStr">
        <is>
          <t>Hn An &lt;aeaxn.22@gmail.com&gt;</t>
        </is>
      </c>
      <c r="B1350" s="3" t="inlineStr">
        <is>
          <t>aeaxn.22@gmail.com</t>
        </is>
      </c>
      <c r="C1350" s="2" t="inlineStr">
        <is>
          <t>Delete the insult to number 65691000. The insult is from a trashy girl asking questions and leaving.</t>
        </is>
      </c>
      <c r="D1350" s="2" t="inlineStr">
        <is>
          <t>Hello! How can we help you?  Report وزباله و بنت تسال و تشرد : 65691000   ‫أُرسلت من الـ iPhone‬</t>
        </is>
      </c>
      <c r="E1350" s="4" t="inlineStr">
        <is>
          <t>65691000</t>
        </is>
      </c>
    </row>
    <row r="1351" ht="18" customHeight="1">
      <c r="A1351" s="5" t="inlineStr">
        <is>
          <t>Hn An &lt;aeaxn.22@gmail.com&gt;</t>
        </is>
      </c>
      <c r="B1351" s="6" t="inlineStr">
        <is>
          <t>aeaxn.22@gmail.com</t>
        </is>
      </c>
      <c r="C1351" s="5" t="inlineStr">
        <is>
          <t>Delete the insult to number 65691000. The insult is from a trashy girl asking questions and leaving.</t>
        </is>
      </c>
      <c r="D1351" s="5" t="inlineStr">
        <is>
          <t>Hello! How can we help you?  Report وزباله و بنت تسال و تشرد : 65691000   ‫أُرسلت من الـ iPhone‬</t>
        </is>
      </c>
      <c r="E1351" s="7" t="inlineStr">
        <is>
          <t>65691000</t>
        </is>
      </c>
    </row>
    <row r="1352" ht="18" customHeight="1">
      <c r="A1352" s="2" t="inlineStr">
        <is>
          <t>Hn An &lt;aeaxn.22@gmail.com&gt;</t>
        </is>
      </c>
      <c r="B1352" s="3" t="inlineStr">
        <is>
          <t>aeaxn.22@gmail.com</t>
        </is>
      </c>
      <c r="C1352" s="2" t="inlineStr">
        <is>
          <t>Delete the insult to number 65691000. The insult is from a trashy girl asking questions and leaving.</t>
        </is>
      </c>
      <c r="D1352" s="2" t="inlineStr">
        <is>
          <t>Hello! How can we help you?  Report وزباله و بنت تسال و تشرد : 65691000   ‫أُرسلت من الـ iPhone‬</t>
        </is>
      </c>
      <c r="E1352" s="4" t="inlineStr">
        <is>
          <t>65691000</t>
        </is>
      </c>
    </row>
    <row r="1353" ht="18" customHeight="1">
      <c r="A1353" s="5" t="inlineStr">
        <is>
          <t>Hn An &lt;aeaxn.22@gmail.com&gt;</t>
        </is>
      </c>
      <c r="B1353" s="6" t="inlineStr">
        <is>
          <t>aeaxn.22@gmail.com</t>
        </is>
      </c>
      <c r="C1353" s="5" t="inlineStr">
        <is>
          <t>Delete the insult to number 65691000. The insult is from a trashy girl asking questions and leaving.</t>
        </is>
      </c>
      <c r="D1353" s="5" t="inlineStr">
        <is>
          <t>Hello! How can we help you?  Report وزباله و بنت تسال و تشرد : 65691000   ‫أُرسلت من الـ iPhone‬</t>
        </is>
      </c>
      <c r="E1353" s="7" t="inlineStr">
        <is>
          <t>65691000</t>
        </is>
      </c>
    </row>
    <row r="1354" ht="18" customHeight="1">
      <c r="A1354" s="2" t="inlineStr">
        <is>
          <t>Hn An &lt;aeaxn.22@gmail.com&gt;</t>
        </is>
      </c>
      <c r="B1354" s="3" t="inlineStr">
        <is>
          <t>aeaxn.22@gmail.com</t>
        </is>
      </c>
      <c r="C1354" s="2" t="inlineStr">
        <is>
          <t>Delete the insult to number 65691000. The insult is from a trashy girl asking questions and leaving.</t>
        </is>
      </c>
      <c r="D1354" s="2" t="inlineStr">
        <is>
          <t>Hello! How can we help you?  Report وزباله و بنت تسال و تشرد : 65691000   ‫أُرسلت من الـ iPhone‬</t>
        </is>
      </c>
      <c r="E1354" s="4" t="inlineStr">
        <is>
          <t>65691000</t>
        </is>
      </c>
    </row>
    <row r="1355" ht="18" customHeight="1">
      <c r="A1355" s="5" t="inlineStr">
        <is>
          <t>Hn An &lt;aeaxn.22@gmail.com&gt;</t>
        </is>
      </c>
      <c r="B1355" s="6" t="inlineStr">
        <is>
          <t>aeaxn.22@gmail.com</t>
        </is>
      </c>
      <c r="C1355" s="5" t="inlineStr">
        <is>
          <t>Delete the insult to number 65691000. The insult is from a trashy girl asking questions and leaving.</t>
        </is>
      </c>
      <c r="D1355" s="5" t="inlineStr">
        <is>
          <t>Hello! How can we help you?  Report وزباله و بنت تسال و تشرد : 65691000   ‫أُرسلت من الـ iPhone‬</t>
        </is>
      </c>
      <c r="E1355" s="7" t="inlineStr">
        <is>
          <t>65691000</t>
        </is>
      </c>
    </row>
    <row r="1356" ht="18" customHeight="1">
      <c r="A1356" s="2" t="inlineStr">
        <is>
          <t>Hn An &lt;aeaxn.22@gmail.com&gt;</t>
        </is>
      </c>
      <c r="B1356" s="3" t="inlineStr">
        <is>
          <t>aeaxn.22@gmail.com</t>
        </is>
      </c>
      <c r="C1356" s="2">
        <f>?utf-8?B?2K3YsNmBINin2YTYp9iz2KfYptmHINi52YTZiSDYp9mE2LHZgtmF?=  =?utf-8?B?IDY1NjkxMDAwICAg2KfZhNin2LPYp9im2Ycg2YfZiiDYqNmG2Kog?=  =?utf-8?B?2LLYqNin2YTZhyDYqtiz2KbZhCDZiNiq2LTYsdivIA==?=</f>
        <v/>
      </c>
      <c r="D1356" s="2" t="inlineStr">
        <is>
          <t xml:space="preserve"> ‫أُرسلت من الـ iPhone‬</t>
        </is>
      </c>
      <c r="E1356" s="4" t="inlineStr"/>
    </row>
    <row r="1357" ht="18" customHeight="1">
      <c r="A1357" s="5" t="inlineStr">
        <is>
          <t>Hn An &lt;aeaxn.22@gmail.com&gt;</t>
        </is>
      </c>
      <c r="B1357" s="6" t="inlineStr">
        <is>
          <t>aeaxn.22@gmail.com</t>
        </is>
      </c>
      <c r="C1357" s="5">
        <f>?utf-8?B?2KfZhNiz2YTYp9mFINmI2KfZhNix2K3ZhdmHINin2YTYsdit2Kc=?=  =?utf-8?B?2KEg2YXYs9itINin2YTYp9iz2KfYptmH?=</f>
        <v/>
      </c>
      <c r="D1357" s="5" t="inlineStr">
        <is>
          <t>Hello! How can we help you?  Report وزباله و بنت تسال و تشرد : 65691000   ‫أُرسلت من الـ iPhone‬</t>
        </is>
      </c>
      <c r="E1357" s="7" t="inlineStr">
        <is>
          <t>65691000</t>
        </is>
      </c>
    </row>
    <row r="1358" ht="18" customHeight="1">
      <c r="A1358" s="2" t="inlineStr">
        <is>
          <t>Hn An &lt;aeaxn.22@gmail.com&gt;</t>
        </is>
      </c>
      <c r="B1358" s="3" t="inlineStr">
        <is>
          <t>aeaxn.22@gmail.com</t>
        </is>
      </c>
      <c r="C1358" s="2">
        <f>?utf-8?B?2KfZhNiz2YTYp9mFINmI2KfZhNix2K3ZhdmHINin2YTYsdit2Kc=?=  =?utf-8?B?2KEg2YXYs9itINin2YTYp9iz2KfYptmH?=</f>
        <v/>
      </c>
      <c r="D1358" s="2" t="inlineStr">
        <is>
          <t>Hello! How can we help you?  Report وزباله و بنت تسال و تشرد : 65691000   ‫أُرسلت من الـ iPhone‬</t>
        </is>
      </c>
      <c r="E1358" s="4" t="inlineStr">
        <is>
          <t>65691000</t>
        </is>
      </c>
    </row>
    <row r="1359" ht="18" customHeight="1">
      <c r="A1359" s="5" t="inlineStr">
        <is>
          <t>Hn An &lt;aeaxn.22@gmail.com&gt;</t>
        </is>
      </c>
      <c r="B1359" s="6" t="inlineStr">
        <is>
          <t>aeaxn.22@gmail.com</t>
        </is>
      </c>
      <c r="C1359" s="5">
        <f>?utf-8?B?2KfZhNiz2YTYp9mFINmI2KfZhNix2K3ZhdmHINin2YTYsdit2Kc=?=  =?utf-8?B?2KEg2YXYs9itINin2YTYp9iz2KfYptmH?=</f>
        <v/>
      </c>
      <c r="D1359" s="5" t="inlineStr">
        <is>
          <t>Hello! How can we help you?  Report وزباله و بنت تسال و تشرد : 65691000   ‫أُرسلت من الـ iPhone‬</t>
        </is>
      </c>
      <c r="E1359" s="7" t="inlineStr">
        <is>
          <t>65691000</t>
        </is>
      </c>
    </row>
    <row r="1360" ht="18" customHeight="1">
      <c r="A1360" s="2" t="inlineStr">
        <is>
          <t>Hn An &lt;aeaxn.22@gmail.com&gt;</t>
        </is>
      </c>
      <c r="B1360" s="3" t="inlineStr">
        <is>
          <t>aeaxn.22@gmail.com</t>
        </is>
      </c>
      <c r="C1360" s="2">
        <f>?utf-8?B?2KfZhNiz2YTYp9mFINmI2KfZhNix2K3ZhdmHINin2YTYsdit2Kc=?=  =?utf-8?B?2KEg2YXYs9itINin2YTYp9iz2KfYptmH?=</f>
        <v/>
      </c>
      <c r="D1360" s="2" t="inlineStr">
        <is>
          <t>Hello! How can we help you?  Report وزباله و بنت تسال و تشرد : 65691000   ‫أُرسلت من الـ iPhone‬</t>
        </is>
      </c>
      <c r="E1360" s="4" t="inlineStr">
        <is>
          <t>65691000</t>
        </is>
      </c>
    </row>
    <row r="1361" ht="18" customHeight="1">
      <c r="A1361" s="5" t="inlineStr">
        <is>
          <t>Hn An &lt;aeaxn.22@gmail.com&gt;</t>
        </is>
      </c>
      <c r="B1361" s="6" t="inlineStr">
        <is>
          <t>aeaxn.22@gmail.com</t>
        </is>
      </c>
      <c r="C1361" s="5">
        <f>?utf-8?B?2KfZhNiz2YTYp9mFINmI2KfZhNix2K3ZhdmHINin2YTYsdit2Kc=?=  =?utf-8?B?2KEg2YXYs9itINin2YTYp9iz2KfYptmH?=</f>
        <v/>
      </c>
      <c r="D1361" s="5" t="inlineStr">
        <is>
          <t>Hello! How can we help you?  Report وزباله و بنت تسال و تشرد : 65691000   ‫أُرسلت من الـ iPhone‬</t>
        </is>
      </c>
      <c r="E1361" s="7" t="inlineStr">
        <is>
          <t>65691000</t>
        </is>
      </c>
    </row>
    <row r="1362" ht="18" customHeight="1">
      <c r="A1362" s="2" t="inlineStr">
        <is>
          <t>Hn An &lt;aeaxn.22@gmail.com&gt;</t>
        </is>
      </c>
      <c r="B1362" s="3" t="inlineStr">
        <is>
          <t>aeaxn.22@gmail.com</t>
        </is>
      </c>
      <c r="C1362" s="2">
        <f>?utf-8?B?2KfZhNiz2YTYp9mFINmI2KfZhNix2K3ZhdmHINin2YTYsdit2Kc=?=  =?utf-8?B?2KEg2YXYs9itINin2YTYp9iz2KfYptmH?=</f>
        <v/>
      </c>
      <c r="D1362" s="2" t="inlineStr">
        <is>
          <t>Hello! How can we help you?  Report وزباله و بنت تسال و تشرد : 65691000   ‫أُرسلت من الـ iPhone‬</t>
        </is>
      </c>
      <c r="E1362" s="4" t="inlineStr">
        <is>
          <t>65691000</t>
        </is>
      </c>
    </row>
    <row r="1363" ht="18" customHeight="1">
      <c r="A1363" s="5" t="inlineStr">
        <is>
          <t>Hn An &lt;aeaxn.22@gmail.com&gt;</t>
        </is>
      </c>
      <c r="B1363" s="6" t="inlineStr">
        <is>
          <t>aeaxn.22@gmail.com</t>
        </is>
      </c>
      <c r="C1363" s="5">
        <f>?utf-8?B?2KfZhNiz2YTYp9mFINmI2KfZhNix2K3ZhdmHINin2YTYsdit2Kc=?=  =?utf-8?B?2KEg2YXYs9itINin2YTYp9iz2KfYptmH?=</f>
        <v/>
      </c>
      <c r="D1363" s="5" t="inlineStr">
        <is>
          <t>Hello! How can we help you?  Report وزباله و بنت تسال و تشرد : 65691000   ‫أُرسلت من الـ iPhone‬</t>
        </is>
      </c>
      <c r="E1363" s="7" t="inlineStr">
        <is>
          <t>65691000</t>
        </is>
      </c>
    </row>
    <row r="1364" ht="18" customHeight="1">
      <c r="A1364" s="2" t="inlineStr">
        <is>
          <t>Hn An &lt;aeaxn.22@gmail.com&gt;</t>
        </is>
      </c>
      <c r="B1364" s="3" t="inlineStr">
        <is>
          <t>aeaxn.22@gmail.com</t>
        </is>
      </c>
      <c r="C1364" s="2">
        <f>?utf-8?B?2KfZhNiz2YTYp9mFINmI2KfZhNix2K3ZhdmHINin2YTYsdit2Kc=?=  =?utf-8?B?2KEg2YXYs9itINin2YTYp9iz2KfYptmH?=</f>
        <v/>
      </c>
      <c r="D1364" s="2" t="inlineStr">
        <is>
          <t>Hello! How can we help you?  Report وزباله و بنت تسال و تشرد : 65691000   ‫أُرسلت من الـ iPhone‬</t>
        </is>
      </c>
      <c r="E1364" s="4" t="inlineStr">
        <is>
          <t>65691000</t>
        </is>
      </c>
    </row>
    <row r="1365" ht="18" customHeight="1">
      <c r="A1365" s="5" t="inlineStr">
        <is>
          <t>Hn An &lt;aeaxn.22@gmail.com&gt;</t>
        </is>
      </c>
      <c r="B1365" s="6" t="inlineStr">
        <is>
          <t>aeaxn.22@gmail.com</t>
        </is>
      </c>
      <c r="C1365" s="5">
        <f>?utf-8?B?2KfZhNiz2YTYp9mFINmI2KfZhNix2K3ZhdmHINin2YTYsdit2Kc=?=  =?utf-8?B?2KEg2YXYs9itINin2YTYp9iz2KfYptmH?=</f>
        <v/>
      </c>
      <c r="D1365" s="5" t="inlineStr">
        <is>
          <t>Hello! How can we help you?  Report وزباله و بنت تسال و تشرد : 65691000   ‫أُرسلت من الـ iPhone‬</t>
        </is>
      </c>
      <c r="E1365" s="7" t="inlineStr">
        <is>
          <t>65691000</t>
        </is>
      </c>
    </row>
    <row r="1366" ht="18" customHeight="1">
      <c r="A1366" s="2" t="inlineStr">
        <is>
          <t>Hn An &lt;aeaxn.22@gmail.com&gt;</t>
        </is>
      </c>
      <c r="B1366" s="3" t="inlineStr">
        <is>
          <t>aeaxn.22@gmail.com</t>
        </is>
      </c>
      <c r="C1366" s="2">
        <f>?utf-8?B?2KfZhNiz2YTYp9mFINmI2KfZhNix2K3ZhdmHINin2YTYsdit2Kc=?=  =?utf-8?B?2KEg2YXYs9itINin2YTYp9iz2KfYptmH?=</f>
        <v/>
      </c>
      <c r="D1366" s="2" t="inlineStr">
        <is>
          <t>Hello! How can we help you?  Report وزباله و بنت تسال و تشرد : 65691000   ‫أُرسلت من الـ iPhone‬</t>
        </is>
      </c>
      <c r="E1366" s="4" t="inlineStr">
        <is>
          <t>65691000</t>
        </is>
      </c>
    </row>
    <row r="1367" ht="18" customHeight="1">
      <c r="A1367" s="5" t="inlineStr">
        <is>
          <t>Hn An &lt;aeaxn.22@gmail.com&gt;</t>
        </is>
      </c>
      <c r="B1367" s="6" t="inlineStr">
        <is>
          <t>aeaxn.22@gmail.com</t>
        </is>
      </c>
      <c r="C1367" s="5">
        <f>?utf-8?B?2KfZhNiz2YTYp9mFINmI2KfZhNix2K3ZhdmHINin2YTYsdit2Kc=?=  =?utf-8?B?2KEg2YXYs9itINin2YTYp9iz2KfYptmH?=</f>
        <v/>
      </c>
      <c r="D1367" s="5" t="inlineStr">
        <is>
          <t>Hello! How can we help you?  Report وزباله و بنت تسال و تشرد : 65691000   ‫أُرسلت من الـ iPhone‬</t>
        </is>
      </c>
      <c r="E1367" s="7" t="inlineStr">
        <is>
          <t>65691000</t>
        </is>
      </c>
    </row>
    <row r="1368" ht="18" customHeight="1">
      <c r="A1368" s="2" t="inlineStr">
        <is>
          <t>Hn An &lt;aeaxn.22@gmail.com&gt;</t>
        </is>
      </c>
      <c r="B1368" s="3" t="inlineStr">
        <is>
          <t>aeaxn.22@gmail.com</t>
        </is>
      </c>
      <c r="C1368" s="2">
        <f>?utf-8?B?2KfZhNiz2YTYp9mFINmI2KfZhNix2K3ZhdmHINin2YTYsdit2Kc=?=  =?utf-8?B?2KEg2YXYs9itINin2YTYp9iz2KfYptmH?=</f>
        <v/>
      </c>
      <c r="D1368" s="2" t="inlineStr">
        <is>
          <t>Hello! How can we help you?  Report وزباله و بنت تسال و تشرد : 65691000   ‫أُرسلت من الـ iPhone‬</t>
        </is>
      </c>
      <c r="E1368" s="4" t="inlineStr">
        <is>
          <t>65691000</t>
        </is>
      </c>
    </row>
    <row r="1369" ht="18" customHeight="1">
      <c r="A1369" s="5" t="inlineStr">
        <is>
          <t>Hn An &lt;aeaxn.22@gmail.com&gt;</t>
        </is>
      </c>
      <c r="B1369" s="6" t="inlineStr">
        <is>
          <t>aeaxn.22@gmail.com</t>
        </is>
      </c>
      <c r="C1369" s="5">
        <f>?utf-8?B?2KfZhNiz2YTYp9mFINmI2KfZhNix2K3ZhdmHINin2YTYsdit2Kc=?=  =?utf-8?B?2KEg2YXYs9itINin2YTYp9iz2KfYptmH?=</f>
        <v/>
      </c>
      <c r="D1369" s="5" t="inlineStr">
        <is>
          <t>Hello! How can we help you?  Report وزباله و بنت تسال و تشرد : 65691000   ‫أُرسلت من الـ iPhone‬</t>
        </is>
      </c>
      <c r="E1369" s="7" t="inlineStr">
        <is>
          <t>65691000</t>
        </is>
      </c>
    </row>
    <row r="1370" ht="18" customHeight="1">
      <c r="A1370" s="2" t="inlineStr">
        <is>
          <t>Hn An &lt;aeaxn.22@gmail.com&gt;</t>
        </is>
      </c>
      <c r="B1370" s="3" t="inlineStr">
        <is>
          <t>aeaxn.22@gmail.com</t>
        </is>
      </c>
      <c r="C1370" s="2">
        <f>?utf-8?B?2KfZhNiz2YTYp9mFINmI2KfZhNix2K3ZhdmHINin2YTYsdit2Kc=?=  =?utf-8?B?2KEg2YXYs9itINin2YTYp9iz2KfYptmH?=</f>
        <v/>
      </c>
      <c r="D1370" s="2" t="inlineStr">
        <is>
          <t>Hello! How can we help you?  Report وزباله و بنت تسال و تشرد : 65691000   ‫أُرسلت من الـ iPhone‬</t>
        </is>
      </c>
      <c r="E1370" s="4" t="inlineStr">
        <is>
          <t>65691000</t>
        </is>
      </c>
    </row>
    <row r="1371" ht="18" customHeight="1">
      <c r="A1371" s="5" t="inlineStr">
        <is>
          <t>Hn An &lt;aeaxn.22@gmail.com&gt;</t>
        </is>
      </c>
      <c r="B1371" s="6" t="inlineStr">
        <is>
          <t>aeaxn.22@gmail.com</t>
        </is>
      </c>
      <c r="C1371" s="5">
        <f>?utf-8?B?2KfZhNiz2YTYp9mFINmI2KfZhNix2K3ZhdmHINin2YTYsdit2Kc=?=  =?utf-8?B?2KEg2YXYs9itINin2YTYp9iz2KfYptmH?=</f>
        <v/>
      </c>
      <c r="D1371" s="5" t="inlineStr">
        <is>
          <t>Hello! How can we help you?  Report وزباله و بنت تسال و تشرد : 65691000   ‫أُرسلت من الـ iPhone‬</t>
        </is>
      </c>
      <c r="E1371" s="7" t="inlineStr">
        <is>
          <t>65691000</t>
        </is>
      </c>
    </row>
    <row r="1372" ht="18" customHeight="1">
      <c r="A1372" s="2" t="inlineStr">
        <is>
          <t>Hn An &lt;aeaxn.22@gmail.com&gt;</t>
        </is>
      </c>
      <c r="B1372" s="3" t="inlineStr">
        <is>
          <t>aeaxn.22@gmail.com</t>
        </is>
      </c>
      <c r="C1372" s="2">
        <f>?utf-8?B?2KfZhNiz2YTYp9mFINmI2KfZhNix2K3ZhdmHINin2YTYsdit2Kc=?=  =?utf-8?B?2KEg2YXYs9itINin2YTYp9iz2KfYptmH?=</f>
        <v/>
      </c>
      <c r="D1372" s="2" t="inlineStr">
        <is>
          <t>Hello! How can we help you?  Report وزباله و بنت تسال و تشرد : 65691000   ‫أُرسلت من الـ iPhone‬</t>
        </is>
      </c>
      <c r="E1372" s="4" t="inlineStr">
        <is>
          <t>65691000</t>
        </is>
      </c>
    </row>
    <row r="1373" ht="18" customHeight="1">
      <c r="A1373" s="5" t="inlineStr">
        <is>
          <t>Hn An &lt;aeaxn.22@gmail.com&gt;</t>
        </is>
      </c>
      <c r="B1373" s="6" t="inlineStr">
        <is>
          <t>aeaxn.22@gmail.com</t>
        </is>
      </c>
      <c r="C1373" s="5">
        <f>?utf-8?B?2KfZhNiz2YTYp9mFINmI2KfZhNix2K3ZhdmHINin2YTYsdit2Kc=?=  =?utf-8?B?2KEg2YXYs9itINin2YTYp9iz2KfYptmH?=</f>
        <v/>
      </c>
      <c r="D1373" s="5" t="inlineStr">
        <is>
          <t>Hello! How can we help you?  Report وزباله و بنت تسال و تشرد : 65691000   ‫أُرسلت من الـ iPhone‬</t>
        </is>
      </c>
      <c r="E1373" s="7" t="inlineStr">
        <is>
          <t>65691000</t>
        </is>
      </c>
    </row>
    <row r="1374" ht="18" customHeight="1">
      <c r="A1374" s="2" t="inlineStr">
        <is>
          <t>Hn An &lt;aeaxn.22@gmail.com&gt;</t>
        </is>
      </c>
      <c r="B1374" s="3" t="inlineStr">
        <is>
          <t>aeaxn.22@gmail.com</t>
        </is>
      </c>
      <c r="C1374" s="2" t="inlineStr"/>
      <c r="D1374" s="2" t="inlineStr">
        <is>
          <t>Hello! How can we help you?  Report وزباله و بنت تسال و تشرد : 65691000   ‫أُرسلت من الـ iPhone‬</t>
        </is>
      </c>
      <c r="E1374" s="4" t="inlineStr">
        <is>
          <t>65691000</t>
        </is>
      </c>
    </row>
    <row r="1375" ht="18" customHeight="1">
      <c r="A1375" s="5" t="inlineStr">
        <is>
          <t>M B M AL &lt;mb.q8.305@icloud.com&gt;</t>
        </is>
      </c>
      <c r="B1375" s="6" t="inlineStr">
        <is>
          <t>mb.q8.305@icloud.com</t>
        </is>
      </c>
      <c r="C1375" s="5">
        <f>?utf-8?B?2YfYsNinINiu2LfZiiDYp9mE2YLYr9mK2YUg2YXYs9it2Ygg2Kc=?=  =?utf-8?B?2LPZhdmKINmF2YYg2YfZhCDYp9mE2KjZitin2Lkg?=</f>
        <v/>
      </c>
      <c r="D1375" s="5" t="inlineStr">
        <is>
          <t>Hello! How can we help you?  مسحو اسمي من الي اخذ الخط الخط تم تغييره رجاء   Report حمود المطيري- : 97967291   ‫أُرسلت من الـ iPhone‬</t>
        </is>
      </c>
      <c r="E1375" s="7" t="inlineStr">
        <is>
          <t>97967291</t>
        </is>
      </c>
    </row>
    <row r="1376" ht="18" customHeight="1">
      <c r="A1376" s="2" t="inlineStr">
        <is>
          <t>hadeel ahmad &lt;hadooola_9991@icloud.com&gt;</t>
        </is>
      </c>
      <c r="B1376" s="3" t="inlineStr">
        <is>
          <t>hadooola_9991@icloud.com</t>
        </is>
      </c>
      <c r="C1376" s="2" t="inlineStr"/>
      <c r="D1376" s="2" t="inlineStr">
        <is>
          <t>Hello! How can we help you?  Report ي قطط : 51106022   Sent from my iPhone</t>
        </is>
      </c>
      <c r="E1376" s="4" t="inlineStr">
        <is>
          <t>51106022</t>
        </is>
      </c>
    </row>
    <row r="1377" ht="18" customHeight="1">
      <c r="A1377" s="5" t="inlineStr">
        <is>
          <t>Mohammad Alsediqi &lt;alsediqi93@gmail.com&gt;</t>
        </is>
      </c>
      <c r="B1377" s="6" t="inlineStr">
        <is>
          <t>alsediqi93@gmail.com</t>
        </is>
      </c>
      <c r="C1377" s="5">
        <f>?utf-8?B?2LfZhNioINit2LDZgSDYsdmC2YU=?=</f>
        <v/>
      </c>
      <c r="D1377" s="5" t="inlineStr">
        <is>
          <t>الساده الكرام  تحية طيبة وبعد،،    أتواصل معكم مجددًا بخصوص الخطأ الوارد في بياناتي الشخصية، والذي لا يزال يظهر بشكل غير صحيح في سجلاتكم، رغم تواصلي معكم أكثر من مرة عبر البريد الإلكتروني بشأن هذا الموضوع.    لذا أرجو منكم تصحيح البيانات بشكل عاجل واعتماد المعلومات الصحيحة التالية:    الاسم الكامل: محمد أسامة الصديقي رقم الهاتف: ‎00965 66737326     كما أرجو تأكيدكم كتابيًا فور الانتهاء من التصحيح.  شاكر تعاونكم واهتمامكم بهذا الموضوع الذي طال انتظاره.    مع خالص التحية والتقدير،  محمد الصديقي     Sent from my iPhone</t>
        </is>
      </c>
      <c r="E1377" s="7" t="inlineStr">
        <is>
          <t>66737326</t>
        </is>
      </c>
    </row>
    <row r="1378" ht="18" customHeight="1">
      <c r="A1378" s="2">
        <f>?utf-8?B?4oCi0rLMuNKz4pSHIDfEgSDEu8SBIM+JxIEg4pSH0rPMuNKyzLjigKIgLg==?= 	&lt;la6oofa-92@hotmail.com&gt;</f>
        <v/>
      </c>
      <c r="B1378" s="3" t="inlineStr">
        <is>
          <t>la6oofa-92@hotmail.com</t>
        </is>
      </c>
      <c r="C1378" s="2" t="inlineStr">
        <is>
          <t xml:space="preserve">Remove this </t>
        </is>
      </c>
      <c r="D1378" s="2" t="inlineStr">
        <is>
          <t xml:space="preserve">Hello! How can we help you?  Report 26 Sep@4:30 For 6 : 66551271  Sent from my iPhone </t>
        </is>
      </c>
      <c r="E1378" s="4" t="inlineStr">
        <is>
          <t>66551271</t>
        </is>
      </c>
    </row>
    <row r="1379" ht="18" customHeight="1">
      <c r="A1379" s="5" t="inlineStr">
        <is>
          <t>Hamad Mishari &lt;hamadon8a_95@icloud.com&gt;</t>
        </is>
      </c>
      <c r="B1379" s="6" t="inlineStr">
        <is>
          <t>hamadon8a_95@icloud.com</t>
        </is>
      </c>
      <c r="C1379" s="5">
        <f>?utf-8?B?2KfZhNin2LPZhSDZitiz2KjYqCDZhNmKINin2K3Ysdin2Kwg2YE=?=  =?utf-8?B?2Yog2YXZgtixINi52YXZhNmK?=</f>
        <v/>
      </c>
      <c r="D1379" s="5" t="inlineStr">
        <is>
          <t>Hello! How can we help you?  Report حمد البقه- : 90096816   Sent from my iPhone</t>
        </is>
      </c>
      <c r="E1379" s="7" t="inlineStr">
        <is>
          <t>90096816</t>
        </is>
      </c>
    </row>
    <row r="1380" ht="18" customHeight="1">
      <c r="A1380" s="2" t="inlineStr">
        <is>
          <t>A Alrougi &lt;Alrougi.a@outlook.com&gt;</t>
        </is>
      </c>
      <c r="B1380" s="3" t="inlineStr">
        <is>
          <t>Alrougi.a@outlook.com</t>
        </is>
      </c>
      <c r="C1380" s="2" t="inlineStr"/>
      <c r="D1380" s="2" t="inlineStr">
        <is>
          <t xml:space="preserve">Hello! How can we help you?  Report عبدالله فارس فوزيه : 90077660  Sent from my iPhone </t>
        </is>
      </c>
      <c r="E1380" s="4" t="inlineStr">
        <is>
          <t>90077660</t>
        </is>
      </c>
    </row>
    <row r="1381" ht="18" customHeight="1">
      <c r="A1381" s="5" t="inlineStr">
        <is>
          <t>talal eledwany &lt;talal5151k@icloud.com&gt;</t>
        </is>
      </c>
      <c r="B1381" s="6" t="inlineStr">
        <is>
          <t>talal5151k@icloud.com</t>
        </is>
      </c>
      <c r="C1381" s="5">
        <f>?utf-8?B?2LPYqCDZiNmC2LDZgQ==?=</f>
        <v/>
      </c>
      <c r="D1381" s="5" t="inlineStr">
        <is>
          <t>Hello! How can we help you?  Report مو-رجال : 97933310   ‫أُرسلت من الـ iPhone‬</t>
        </is>
      </c>
      <c r="E1381" s="7" t="inlineStr">
        <is>
          <t>97933310</t>
        </is>
      </c>
    </row>
    <row r="1382" ht="18" customHeight="1">
      <c r="A1382" s="2" t="inlineStr">
        <is>
          <t>hmne hgekze &lt;plkdoneplkd@gmail.com&gt;</t>
        </is>
      </c>
      <c r="B1382" s="3" t="inlineStr">
        <is>
          <t>plkdoneplkd@gmail.com</t>
        </is>
      </c>
      <c r="C1382" s="2">
        <f>?utf-8?B?2LrZitixINit2YLZitmC2Yo=?=</f>
        <v/>
      </c>
      <c r="D1382" s="2" t="inlineStr">
        <is>
          <t>Hello! How can we help you?  Report التسويق : 51638888   ‫أُرسلت من الـ iPhone‬</t>
        </is>
      </c>
      <c r="E1382" s="4" t="inlineStr">
        <is>
          <t>51638888</t>
        </is>
      </c>
    </row>
    <row r="1383" ht="18" customHeight="1">
      <c r="A1383" s="5" t="inlineStr">
        <is>
          <t>Hajar Bader &lt;hajar_b@live.com&gt;</t>
        </is>
      </c>
      <c r="B1383" s="6" t="inlineStr">
        <is>
          <t>hajar_b@live.com</t>
        </is>
      </c>
      <c r="C1383" s="5" t="inlineStr">
        <is>
          <t xml:space="preserve">its harmful </t>
        </is>
      </c>
      <c r="D1383" s="5" t="inlineStr">
        <is>
          <t xml:space="preserve">Hello! How can we help you?  Report عبده : 55588458  Sent from my iPhone </t>
        </is>
      </c>
      <c r="E1383" s="7" t="inlineStr">
        <is>
          <t>55588458</t>
        </is>
      </c>
    </row>
    <row r="1384" ht="18" customHeight="1">
      <c r="A1384" s="2" t="inlineStr">
        <is>
          <t>ahmad abdulla &lt;alfn4n@hotmail.com&gt;</t>
        </is>
      </c>
      <c r="B1384" s="3" t="inlineStr">
        <is>
          <t>alfn4n@hotmail.com</t>
        </is>
      </c>
      <c r="C1384" s="2">
        <f>?utf-8?B?2LfZhNioINin2LLYp9mE2Kk=?=</f>
        <v/>
      </c>
      <c r="D1384" s="2" t="inlineStr">
        <is>
          <t xml:space="preserve">Hello! How can we help you?  السلام عليكم  يرجى اخفاء اظهار اسمي من البرنامج سواء بشكل كلي، او بشكل جزئي بحيث يتم اخفاء بعض المسميات التي تحتوي على تنمر واضح Sent from my iPhone </t>
        </is>
      </c>
      <c r="E1384" s="4" t="inlineStr"/>
    </row>
    <row r="1385" ht="18" customHeight="1">
      <c r="A1385" s="5" t="inlineStr">
        <is>
          <t>B H &lt;alhamadbarak@gmail.com&gt;</t>
        </is>
      </c>
      <c r="B1385" s="6" t="inlineStr">
        <is>
          <t>alhamadbarak@gmail.com</t>
        </is>
      </c>
      <c r="C1385" s="5" t="inlineStr"/>
      <c r="D1385" s="5" t="inlineStr">
        <is>
          <t>Hello! How can we help you?  Report قروب امتحانات : 96054477   وهذا كذلك  Sent from my iPhone</t>
        </is>
      </c>
      <c r="E1385" s="7" t="inlineStr">
        <is>
          <t>96054477</t>
        </is>
      </c>
    </row>
    <row r="1386" ht="18" customHeight="1">
      <c r="A1386" s="2" t="inlineStr">
        <is>
          <t>B H &lt;alhamadbarak@gmail.com&gt;</t>
        </is>
      </c>
      <c r="B1386" s="3" t="inlineStr">
        <is>
          <t>alhamadbarak@gmail.com</t>
        </is>
      </c>
      <c r="C1386" s="2" t="inlineStr"/>
      <c r="D1386" s="2" t="inlineStr">
        <is>
          <t>Hello! How can we help you?  Report حق الامتحانات : 96054477  امسحو الاسم لاهنتو  Sent from my iPhone</t>
        </is>
      </c>
      <c r="E1386" s="4" t="inlineStr">
        <is>
          <t>96054477</t>
        </is>
      </c>
    </row>
    <row r="1387" ht="18" customHeight="1">
      <c r="A1387" s="5" t="inlineStr">
        <is>
          <t>B H &lt;alhamadbarak@gmail.com&gt;</t>
        </is>
      </c>
      <c r="B1387" s="6" t="inlineStr">
        <is>
          <t>alhamadbarak@gmail.com</t>
        </is>
      </c>
      <c r="C1387" s="5" t="inlineStr"/>
      <c r="D1387" s="5" t="inlineStr">
        <is>
          <t>Hello! How can we help you?  Report اجوبة الامتحانات : 96054477   امسح الاسم  Sent from my iPhone</t>
        </is>
      </c>
      <c r="E1387" s="7" t="inlineStr">
        <is>
          <t>96054477</t>
        </is>
      </c>
    </row>
    <row r="1388" ht="18" customHeight="1">
      <c r="A1388" s="2" t="inlineStr">
        <is>
          <t>B H &lt;alhamadbarak@gmail.com&gt;</t>
        </is>
      </c>
      <c r="B1388" s="3" t="inlineStr">
        <is>
          <t>alhamadbarak@gmail.com</t>
        </is>
      </c>
      <c r="C1388" s="2" t="inlineStr"/>
      <c r="D1388" s="2" t="inlineStr">
        <is>
          <t>Hello! How can we help you?  Report ركونهه✨" : 96054477  هذا كذلك امسحوه Sent from my iPhone</t>
        </is>
      </c>
      <c r="E1388" s="4" t="inlineStr">
        <is>
          <t>96054477</t>
        </is>
      </c>
    </row>
    <row r="1389" ht="18" customHeight="1">
      <c r="A1389" s="5" t="inlineStr">
        <is>
          <t>B H &lt;alhamadbarak@gmail.com&gt;</t>
        </is>
      </c>
      <c r="B1389" s="6" t="inlineStr">
        <is>
          <t>alhamadbarak@gmail.com</t>
        </is>
      </c>
      <c r="C1389" s="5" t="inlineStr"/>
      <c r="D1389" s="5" t="inlineStr">
        <is>
          <t>Hello! How can we help you?  Report باجر يبادل نشر : 96054477      امسحوه لاهنتو Sent from my iPhone</t>
        </is>
      </c>
      <c r="E1389" s="7" t="inlineStr">
        <is>
          <t>96054477</t>
        </is>
      </c>
    </row>
    <row r="1390" ht="18" customHeight="1">
      <c r="A1390" s="2">
        <f>?utf-8?B?2LnYqNiv2KfZhNix2K3ZhdmGINin2YTZhdi32YrYsdmK?= &lt;7sha1fsha@gmail.com&gt;</f>
        <v/>
      </c>
      <c r="B1390" s="3" t="inlineStr">
        <is>
          <t>7sha1fsha@gmail.com</t>
        </is>
      </c>
      <c r="C1390" s="2" t="inlineStr">
        <is>
          <t>He saying something bad about my mother please delete it</t>
        </is>
      </c>
      <c r="D1390" s="2" t="inlineStr">
        <is>
          <t>Hello! How can we help you?  Report امه حلوه : 94754747   Sent from my iPhone</t>
        </is>
      </c>
      <c r="E1390" s="4" t="inlineStr">
        <is>
          <t>94754747</t>
        </is>
      </c>
    </row>
    <row r="1391" ht="18" customHeight="1">
      <c r="A1391" s="5" t="inlineStr">
        <is>
          <t>Hn An &lt;aeaxn.22@gmail.com&gt;</t>
        </is>
      </c>
      <c r="B1391" s="6" t="inlineStr">
        <is>
          <t>aeaxn.22@gmail.com</t>
        </is>
      </c>
      <c r="C1391" s="5">
        <f>?utf-8?B?2KfZhNix2KzYp9ihINmF2LPYrSDYp9mE2KfYs9in2KbZhw==?=</f>
        <v/>
      </c>
      <c r="D1391" s="5" t="inlineStr">
        <is>
          <t>Hello! How can we help you?  Report وزباله و بنت تسال و تشرد : 65691000   ‫أُرسلت من الـ iPhone‬</t>
        </is>
      </c>
      <c r="E1391" s="7" t="inlineStr">
        <is>
          <t>65691000</t>
        </is>
      </c>
    </row>
    <row r="1392" ht="18" customHeight="1">
      <c r="A1392" s="2" t="inlineStr">
        <is>
          <t>Hn An &lt;aeaxn.22@gmail.com&gt;</t>
        </is>
      </c>
      <c r="B1392" s="3" t="inlineStr">
        <is>
          <t>aeaxn.22@gmail.com</t>
        </is>
      </c>
      <c r="C1392" s="2">
        <f>?utf-8?B?2KfZhNix2KzYp9ihINmF2LPYrSDYp9mE2KfYs9in2KbZhw==?=</f>
        <v/>
      </c>
      <c r="D1392" s="2" t="inlineStr">
        <is>
          <t>Hello! How can we help you?  Report وزباله و بنت تسال و تشرد : 65691000   ‫أُرسلت من الـ iPhone‬</t>
        </is>
      </c>
      <c r="E1392" s="4" t="inlineStr">
        <is>
          <t>65691000</t>
        </is>
      </c>
    </row>
    <row r="1393" ht="18" customHeight="1">
      <c r="A1393" s="5" t="inlineStr">
        <is>
          <t>Hn An &lt;aeaxn.22@gmail.com&gt;</t>
        </is>
      </c>
      <c r="B1393" s="6" t="inlineStr">
        <is>
          <t>aeaxn.22@gmail.com</t>
        </is>
      </c>
      <c r="C1393" s="5">
        <f>?utf-8?B?2KfZhNix2KzYp9ihINmF2LPYrSDYp9mE2KfYs9in2KbZhw==?=</f>
        <v/>
      </c>
      <c r="D1393" s="5" t="inlineStr">
        <is>
          <t>Hello! How can we help you?  Report وزباله و بنت تسال و تشرد : 65691000   ‫أُرسلت من الـ iPhone‬</t>
        </is>
      </c>
      <c r="E1393" s="7" t="inlineStr">
        <is>
          <t>65691000</t>
        </is>
      </c>
    </row>
    <row r="1394" ht="18" customHeight="1">
      <c r="A1394" s="2" t="inlineStr">
        <is>
          <t>Hn An &lt;aeaxn.22@gmail.com&gt;</t>
        </is>
      </c>
      <c r="B1394" s="3" t="inlineStr">
        <is>
          <t>aeaxn.22@gmail.com</t>
        </is>
      </c>
      <c r="C1394" s="2">
        <f>?utf-8?B?2KfZhNix2KzYp9ihINmF2LPYrSDYp9mE2KfYs9in2KbZhw==?=</f>
        <v/>
      </c>
      <c r="D1394" s="2" t="inlineStr">
        <is>
          <t>Hello! How can we help you?  Report وزباله و بنت تسال و تشرد : 65691000   ‫أُرسلت من الـ iPhone‬</t>
        </is>
      </c>
      <c r="E1394" s="4" t="inlineStr">
        <is>
          <t>65691000</t>
        </is>
      </c>
    </row>
    <row r="1395" ht="18" customHeight="1">
      <c r="A1395" s="5" t="inlineStr">
        <is>
          <t>Hn An &lt;aeaxn.22@gmail.com&gt;</t>
        </is>
      </c>
      <c r="B1395" s="6" t="inlineStr">
        <is>
          <t>aeaxn.22@gmail.com</t>
        </is>
      </c>
      <c r="C1395" s="5">
        <f>?utf-8?B?2KfZhNix2KzYp9ihINmF2LPYrSDYp9mE2KfYs9in2KbZhw==?=</f>
        <v/>
      </c>
      <c r="D1395" s="5" t="inlineStr">
        <is>
          <t>Hello! How can we help you?  Report وزباله و بنت تسال و تشرد : 65691000   ‫أُرسلت من الـ iPhone‬</t>
        </is>
      </c>
      <c r="E1395" s="7" t="inlineStr">
        <is>
          <t>65691000</t>
        </is>
      </c>
    </row>
    <row r="1396" ht="18" customHeight="1">
      <c r="A1396" s="2" t="inlineStr">
        <is>
          <t>Hn An &lt;aeaxn.22@gmail.com&gt;</t>
        </is>
      </c>
      <c r="B1396" s="3" t="inlineStr">
        <is>
          <t>aeaxn.22@gmail.com</t>
        </is>
      </c>
      <c r="C1396" s="2">
        <f>?utf-8?B?2KfZhNix2KzYp9ihINmF2LPYrSDYp9mE2KfYs9in2KbZhw==?=</f>
        <v/>
      </c>
      <c r="D1396" s="2" t="inlineStr">
        <is>
          <t>Hello! How can we help you?  Report وزباله و بنت تسال و تشرد : 65691000   ‫أُرسلت من الـ iPhone‬</t>
        </is>
      </c>
      <c r="E1396" s="4" t="inlineStr">
        <is>
          <t>65691000</t>
        </is>
      </c>
    </row>
    <row r="1397" ht="18" customHeight="1">
      <c r="A1397" s="5" t="inlineStr">
        <is>
          <t>Hn An &lt;aeaxn.22@gmail.com&gt;</t>
        </is>
      </c>
      <c r="B1397" s="6" t="inlineStr">
        <is>
          <t>aeaxn.22@gmail.com</t>
        </is>
      </c>
      <c r="C1397" s="5">
        <f>?utf-8?B?2KfZhNix2KzYp9ihINmF2LPYrSDYp9mE2KfYs9in2KbZhw==?=</f>
        <v/>
      </c>
      <c r="D1397" s="5" t="inlineStr">
        <is>
          <t>Hello! How can we help you?  Report وزباله و بنت تسال و تشرد : 65691000   ‫أُرسلت من الـ iPhone‬</t>
        </is>
      </c>
      <c r="E1397" s="7" t="inlineStr">
        <is>
          <t>65691000</t>
        </is>
      </c>
    </row>
    <row r="1398" ht="18" customHeight="1">
      <c r="A1398" s="2">
        <f>?UTF-8?B?2YXYpNiz2LPYqSDYqNmGINi52KfZhdix?= &lt;mwsstbnamr@gmail.com&gt;</f>
        <v/>
      </c>
      <c r="B1398" s="3" t="inlineStr">
        <is>
          <t>mwsstbnamr@gmail.com</t>
        </is>
      </c>
      <c r="C1398" s="2" t="inlineStr"/>
      <c r="D1398" s="2" t="inlineStr">
        <is>
          <t> </t>
        </is>
      </c>
      <c r="E1398" s="4" t="inlineStr"/>
    </row>
    <row r="1399" ht="18" customHeight="1">
      <c r="A1399" s="5" t="inlineStr">
        <is>
          <t>salem alhumaidhi &lt;sfsyh17@gmail.com&gt;</t>
        </is>
      </c>
      <c r="B1399" s="6" t="inlineStr">
        <is>
          <t>sfsyh17@gmail.com</t>
        </is>
      </c>
      <c r="C1399" s="5" t="inlineStr"/>
      <c r="D1399" s="5" t="inlineStr">
        <is>
          <t>Hello! How can we help you?  Report Nkhongbat11 : 51777775   Sent from my iPhone</t>
        </is>
      </c>
      <c r="E1399" s="7" t="inlineStr">
        <is>
          <t>51777775</t>
        </is>
      </c>
    </row>
    <row r="1400" ht="18" customHeight="1">
      <c r="A1400" s="2" t="inlineStr">
        <is>
          <t>Hn An &lt;aeaxn.22@gmail.com&gt;</t>
        </is>
      </c>
      <c r="B1400" s="3" t="inlineStr">
        <is>
          <t>aeaxn.22@gmail.com</t>
        </is>
      </c>
      <c r="C1400" s="2">
        <f>?utf-8?B?2KfZhNix2KzYp9ihINmF2LPYrSAg2KfZhNin2LPYp9im2Yc=?=</f>
        <v/>
      </c>
      <c r="D1400" s="2" t="inlineStr">
        <is>
          <t>Hello! How can we help you?  Report وزباله و بنت تسال و تشرد : 65691000   ‫أُرسلت من الـ iPhone‬</t>
        </is>
      </c>
      <c r="E1400" s="4" t="inlineStr">
        <is>
          <t>65691000</t>
        </is>
      </c>
    </row>
    <row r="1401" ht="18" customHeight="1">
      <c r="A1401" s="5" t="inlineStr">
        <is>
          <t>Hn An &lt;aeaxn.22@gmail.com&gt;</t>
        </is>
      </c>
      <c r="B1401" s="6" t="inlineStr">
        <is>
          <t>aeaxn.22@gmail.com</t>
        </is>
      </c>
      <c r="C1401" s="5">
        <f>?utf-8?B?2KfZhNix2KzYp9ihINmF2LPYrSAg2KfZhNin2LPYp9im2Yc=?=</f>
        <v/>
      </c>
      <c r="D1401" s="5" t="inlineStr">
        <is>
          <t>Hello! How can we help you?  Report وزباله و بنت تسال و تشرد : 65691000   ‫أُرسلت من الـ iPhone‬</t>
        </is>
      </c>
      <c r="E1401" s="7" t="inlineStr">
        <is>
          <t>65691000</t>
        </is>
      </c>
    </row>
    <row r="1402" ht="18" customHeight="1">
      <c r="A1402" s="2" t="inlineStr">
        <is>
          <t>Hn An &lt;aeaxn.22@gmail.com&gt;</t>
        </is>
      </c>
      <c r="B1402" s="3" t="inlineStr">
        <is>
          <t>aeaxn.22@gmail.com</t>
        </is>
      </c>
      <c r="C1402" s="2">
        <f>?utf-8?B?2KfZhNix2KzYp9ihINmF2LPYrSAg2KfZhNin2LPYp9im2Yc=?=</f>
        <v/>
      </c>
      <c r="D1402" s="2" t="inlineStr">
        <is>
          <t>Hello! How can we help you?  Report وزباله و بنت تسال و تشرد : 65691000   ‫أُرسلت من الـ iPhone‬</t>
        </is>
      </c>
      <c r="E1402" s="4" t="inlineStr">
        <is>
          <t>65691000</t>
        </is>
      </c>
    </row>
    <row r="1403" ht="18" customHeight="1">
      <c r="A1403" s="5" t="inlineStr">
        <is>
          <t>Hn An &lt;aeaxn.22@gmail.com&gt;</t>
        </is>
      </c>
      <c r="B1403" s="6" t="inlineStr">
        <is>
          <t>aeaxn.22@gmail.com</t>
        </is>
      </c>
      <c r="C1403" s="5">
        <f>?utf-8?B?2KfZhNix2KzYp9ihINmF2LPYrSAg2KfZhNin2LPYp9im2Yc=?=</f>
        <v/>
      </c>
      <c r="D1403" s="5" t="inlineStr">
        <is>
          <t>Hello! How can we help you?  Report وزباله و بنت تسال و تشرد : 65691000   ‫أُرسلت من الـ iPhone‬</t>
        </is>
      </c>
      <c r="E1403" s="7" t="inlineStr">
        <is>
          <t>65691000</t>
        </is>
      </c>
    </row>
    <row r="1404" ht="18" customHeight="1">
      <c r="A1404" s="2" t="inlineStr">
        <is>
          <t>Hn An &lt;aeaxn.22@gmail.com&gt;</t>
        </is>
      </c>
      <c r="B1404" s="3" t="inlineStr">
        <is>
          <t>aeaxn.22@gmail.com</t>
        </is>
      </c>
      <c r="C1404" s="2">
        <f>?utf-8?B?2KfZhNix2KzYp9ihINmF2LPYrSAg2KfZhNin2LPYp9im2Yc=?=</f>
        <v/>
      </c>
      <c r="D1404" s="2" t="inlineStr">
        <is>
          <t>Hello! How can we help you?  Report وزباله و بنت تسال و تشرد : 65691000   ‫أُرسلت من الـ iPhone‬</t>
        </is>
      </c>
      <c r="E1404" s="4" t="inlineStr">
        <is>
          <t>65691000</t>
        </is>
      </c>
    </row>
    <row r="1405" ht="18" customHeight="1">
      <c r="A1405" s="5" t="inlineStr">
        <is>
          <t>Hn An &lt;aeaxn.22@gmail.com&gt;</t>
        </is>
      </c>
      <c r="B1405" s="6" t="inlineStr">
        <is>
          <t>aeaxn.22@gmail.com</t>
        </is>
      </c>
      <c r="C1405" s="5">
        <f>?utf-8?B?2KfZhNix2KzYp9ihINmF2LPYrSAg2KfZhNin2LPYp9im2Yc=?=</f>
        <v/>
      </c>
      <c r="D1405" s="5" t="inlineStr">
        <is>
          <t>Hello! How can we help you?  Report وزباله و بنت تسال و تشرد : 65691000   ‫أُرسلت من الـ iPhone‬</t>
        </is>
      </c>
      <c r="E1405" s="7" t="inlineStr">
        <is>
          <t>65691000</t>
        </is>
      </c>
    </row>
    <row r="1406" ht="18" customHeight="1">
      <c r="A1406" s="2" t="inlineStr">
        <is>
          <t>Hn An &lt;aeaxn.22@gmail.com&gt;</t>
        </is>
      </c>
      <c r="B1406" s="3" t="inlineStr">
        <is>
          <t>aeaxn.22@gmail.com</t>
        </is>
      </c>
      <c r="C1406" s="2">
        <f>?utf-8?B?2KfZhNix2KzYp9ihINmF2LPYrSAg2KfZhNin2LPYp9im2Yc=?=</f>
        <v/>
      </c>
      <c r="D1406" s="2" t="inlineStr">
        <is>
          <t>Hello! How can we help you?  Report وزباله و بنت تسال و تشرد : 65691000   ‫أُرسلت من الـ iPhone‬</t>
        </is>
      </c>
      <c r="E1406" s="4" t="inlineStr">
        <is>
          <t>65691000</t>
        </is>
      </c>
    </row>
    <row r="1407" ht="18" customHeight="1">
      <c r="A1407" s="5" t="inlineStr">
        <is>
          <t>Hn An &lt;aeaxn.22@gmail.com&gt;</t>
        </is>
      </c>
      <c r="B1407" s="6" t="inlineStr">
        <is>
          <t>aeaxn.22@gmail.com</t>
        </is>
      </c>
      <c r="C1407" s="5">
        <f>?utf-8?B?2KfZhNix2KzYp9ihINmF2LPYrSAg2KfZhNin2LPYp9im2Yc=?=</f>
        <v/>
      </c>
      <c r="D1407" s="5" t="inlineStr">
        <is>
          <t>Hello! How can we help you?  Report وزباله و بنت تسال و تشرد : 65691000   ‫أُرسلت من الـ iPhone‬</t>
        </is>
      </c>
      <c r="E1407" s="7" t="inlineStr">
        <is>
          <t>65691000</t>
        </is>
      </c>
    </row>
    <row r="1408" ht="18" customHeight="1">
      <c r="A1408" s="2" t="inlineStr">
        <is>
          <t>Hn An &lt;aeaxn.22@gmail.com&gt;</t>
        </is>
      </c>
      <c r="B1408" s="3" t="inlineStr">
        <is>
          <t>aeaxn.22@gmail.com</t>
        </is>
      </c>
      <c r="C1408" s="2">
        <f>?utf-8?B?2KfZhNix2KzYp9ihINmF2LPYrSAg2KfZhNin2LPYp9im2Yc=?=</f>
        <v/>
      </c>
      <c r="D1408" s="2" t="inlineStr">
        <is>
          <t>Hello! How can we help you?  Report وزباله و بنت تسال و تشرد : 65691000   ‫أُرسلت من الـ iPhone‬</t>
        </is>
      </c>
      <c r="E1408" s="4" t="inlineStr">
        <is>
          <t>65691000</t>
        </is>
      </c>
    </row>
    <row r="1409" ht="18" customHeight="1">
      <c r="A1409" s="5" t="inlineStr">
        <is>
          <t>Hn An &lt;aeaxn.22@gmail.com&gt;</t>
        </is>
      </c>
      <c r="B1409" s="6" t="inlineStr">
        <is>
          <t>aeaxn.22@gmail.com</t>
        </is>
      </c>
      <c r="C1409" s="5">
        <f>?utf-8?B?2KfZhNix2KzYp9ihINmF2LPYrSAg2KfZhNin2LPYp9im2Yc=?=</f>
        <v/>
      </c>
      <c r="D1409" s="5" t="inlineStr">
        <is>
          <t>Hello! How can we help you?  Report وزباله و بنت تسال و تشرد : 65691000   ‫أُرسلت من الـ iPhone‬</t>
        </is>
      </c>
      <c r="E1409" s="7" t="inlineStr">
        <is>
          <t>65691000</t>
        </is>
      </c>
    </row>
    <row r="1410" ht="18" customHeight="1">
      <c r="A1410" s="2" t="inlineStr">
        <is>
          <t>Hn An &lt;aeaxn.22@gmail.com&gt;</t>
        </is>
      </c>
      <c r="B1410" s="3" t="inlineStr">
        <is>
          <t>aeaxn.22@gmail.com</t>
        </is>
      </c>
      <c r="C1410" s="2">
        <f>?utf-8?B?2KfZhNix2KzYp9ihINmF2LPYrSAg2KfZhNin2LPYp9im2Yc=?=</f>
        <v/>
      </c>
      <c r="D1410" s="2" t="inlineStr">
        <is>
          <t>Hello! How can we help you?  Report وزباله و بنت تسال و تشرد : 65691000   ‫أُرسلت من الـ iPhone‬</t>
        </is>
      </c>
      <c r="E1410" s="4" t="inlineStr">
        <is>
          <t>65691000</t>
        </is>
      </c>
    </row>
    <row r="1411" ht="18" customHeight="1">
      <c r="A1411" s="5" t="inlineStr">
        <is>
          <t>Hn An &lt;aeaxn.22@gmail.com&gt;</t>
        </is>
      </c>
      <c r="B1411" s="6" t="inlineStr">
        <is>
          <t>aeaxn.22@gmail.com</t>
        </is>
      </c>
      <c r="C1411" s="5">
        <f>?utf-8?B?2KfZhNix2KzYp9ihINmF2LPYrSAg2KfZhNin2LPYp9im2Yc=?=</f>
        <v/>
      </c>
      <c r="D1411" s="5" t="inlineStr">
        <is>
          <t>Hello! How can we help you?  Report وزباله و بنت تسال و تشرد : 65691000   ‫أُرسلت من الـ iPhone‬</t>
        </is>
      </c>
      <c r="E1411" s="7" t="inlineStr">
        <is>
          <t>65691000</t>
        </is>
      </c>
    </row>
    <row r="1412" ht="18" customHeight="1">
      <c r="A1412" s="2" t="inlineStr">
        <is>
          <t>Hn An &lt;aeaxn.22@gmail.com&gt;</t>
        </is>
      </c>
      <c r="B1412" s="3" t="inlineStr">
        <is>
          <t>aeaxn.22@gmail.com</t>
        </is>
      </c>
      <c r="C1412" s="2">
        <f>?utf-8?B?2KfZhNix2KzYp9ihINmF2LPYrSAg2KfZhNin2LPYp9im2Yc=?=</f>
        <v/>
      </c>
      <c r="D1412" s="2" t="inlineStr">
        <is>
          <t>Hello! How can we help you?  Report وزباله و بنت تسال و تشرد : 65691000   ‫أُرسلت من الـ iPhone‬</t>
        </is>
      </c>
      <c r="E1412" s="4" t="inlineStr">
        <is>
          <t>65691000</t>
        </is>
      </c>
    </row>
    <row r="1413" ht="18" customHeight="1">
      <c r="A1413" s="5" t="inlineStr">
        <is>
          <t>Hn An &lt;aeaxn.22@gmail.com&gt;</t>
        </is>
      </c>
      <c r="B1413" s="6" t="inlineStr">
        <is>
          <t>aeaxn.22@gmail.com</t>
        </is>
      </c>
      <c r="C1413" s="5">
        <f>?utf-8?B?2KfZhNix2KzYp9ihINmF2LPYrSAg2KfZhNin2LPYp9im2Yc=?=</f>
        <v/>
      </c>
      <c r="D1413" s="5" t="inlineStr">
        <is>
          <t>Hello! How can we help you?  Report وزباله و بنت تسال و تشرد : 65691000   ‫أُرسلت من الـ iPhone‬</t>
        </is>
      </c>
      <c r="E1413" s="7" t="inlineStr">
        <is>
          <t>65691000</t>
        </is>
      </c>
    </row>
    <row r="1414" ht="18" customHeight="1">
      <c r="A1414" s="2" t="inlineStr">
        <is>
          <t>Hn An &lt;aeaxn.22@gmail.com&gt;</t>
        </is>
      </c>
      <c r="B1414" s="3" t="inlineStr">
        <is>
          <t>aeaxn.22@gmail.com</t>
        </is>
      </c>
      <c r="C1414" s="2">
        <f>?utf-8?B?2KfZhNix2KzYp9ihINmF2LPYrSAg2KfZhNin2LPYp9im2Yc=?=</f>
        <v/>
      </c>
      <c r="D1414" s="2" t="inlineStr">
        <is>
          <t>Hello! How can we help you?  Report وزباله و بنت تسال و تشرد : 65691000   ‫أُرسلت من الـ iPhone‬</t>
        </is>
      </c>
      <c r="E1414" s="4" t="inlineStr">
        <is>
          <t>65691000</t>
        </is>
      </c>
    </row>
    <row r="1415" ht="18" customHeight="1">
      <c r="A1415" s="5" t="inlineStr">
        <is>
          <t>Hn An &lt;aeaxn.22@gmail.com&gt;</t>
        </is>
      </c>
      <c r="B1415" s="6" t="inlineStr">
        <is>
          <t>aeaxn.22@gmail.com</t>
        </is>
      </c>
      <c r="C1415" s="5">
        <f>?utf-8?B?2KfZhNix2KzYp9ihINmF2LPYrSAg2KfZhNin2LPYp9im2Yc=?=</f>
        <v/>
      </c>
      <c r="D1415" s="5" t="inlineStr">
        <is>
          <t>Hello! How can we help you?  Report وزباله و بنت تسال و تشرد : 65691000   ‫أُرسلت من الـ iPhone‬</t>
        </is>
      </c>
      <c r="E1415" s="7" t="inlineStr">
        <is>
          <t>65691000</t>
        </is>
      </c>
    </row>
    <row r="1416" ht="18" customHeight="1">
      <c r="A1416" s="2" t="inlineStr">
        <is>
          <t>Hn An &lt;aeaxn.22@gmail.com&gt;</t>
        </is>
      </c>
      <c r="B1416" s="3" t="inlineStr">
        <is>
          <t>aeaxn.22@gmail.com</t>
        </is>
      </c>
      <c r="C1416" s="2">
        <f>?utf-8?B?2KfZhNix2KzYp9ihINmF2LPYrSAg2KfZhNin2LPYp9im2Yc=?=</f>
        <v/>
      </c>
      <c r="D1416" s="2" t="inlineStr">
        <is>
          <t>Hello! How can we help you?  Report وزباله و بنت تسال و تشرد : 65691000   ‫أُرسلت من الـ iPhone‬</t>
        </is>
      </c>
      <c r="E1416" s="4" t="inlineStr">
        <is>
          <t>65691000</t>
        </is>
      </c>
    </row>
    <row r="1417" ht="18" customHeight="1">
      <c r="A1417" s="5" t="inlineStr">
        <is>
          <t>Hn An &lt;aeaxn.22@gmail.com&gt;</t>
        </is>
      </c>
      <c r="B1417" s="6" t="inlineStr">
        <is>
          <t>aeaxn.22@gmail.com</t>
        </is>
      </c>
      <c r="C1417" s="5">
        <f>?utf-8?B?2KfZhNix2KzYp9ihINmF2LPYrSAg2KfZhNin2LPYp9im2Yc=?=</f>
        <v/>
      </c>
      <c r="D1417" s="5" t="inlineStr">
        <is>
          <t>Hello! How can we help you?  Report وزباله و بنت تسال و تشرد : 65691000   ‫أُرسلت من الـ iPhone‬</t>
        </is>
      </c>
      <c r="E1417" s="7" t="inlineStr">
        <is>
          <t>65691000</t>
        </is>
      </c>
    </row>
    <row r="1418" ht="18" customHeight="1">
      <c r="A1418" s="2" t="inlineStr">
        <is>
          <t>Hn An &lt;aeaxn.22@gmail.com&gt;</t>
        </is>
      </c>
      <c r="B1418" s="3" t="inlineStr">
        <is>
          <t>aeaxn.22@gmail.com</t>
        </is>
      </c>
      <c r="C1418" s="2">
        <f>?utf-8?B?2KfZhNix2KzYp9ihINmF2LPYrSAg2KfZhNin2LPYp9im2Yc=?=</f>
        <v/>
      </c>
      <c r="D1418" s="2" t="inlineStr">
        <is>
          <t>Hello! How can we help you?  Report وزباله و بنت تسال و تشرد : 65691000   ‫أُرسلت من الـ iPhone‬</t>
        </is>
      </c>
      <c r="E1418" s="4" t="inlineStr">
        <is>
          <t>65691000</t>
        </is>
      </c>
    </row>
    <row r="1419" ht="18" customHeight="1">
      <c r="A1419" s="5" t="inlineStr">
        <is>
          <t>Hn An &lt;aeaxn.22@gmail.com&gt;</t>
        </is>
      </c>
      <c r="B1419" s="6" t="inlineStr">
        <is>
          <t>aeaxn.22@gmail.com</t>
        </is>
      </c>
      <c r="C1419" s="5">
        <f>?utf-8?B?2KfZhNix2KzYp9ihINmF2LPYrSAg2KfZhNin2LPYp9im2Yc=?=</f>
        <v/>
      </c>
      <c r="D1419" s="5" t="inlineStr">
        <is>
          <t>Hello! How can we help you?  Report وزباله و بنت تسال و تشرد : 65691000   ‫أُرسلت من الـ iPhone‬</t>
        </is>
      </c>
      <c r="E1419" s="7" t="inlineStr">
        <is>
          <t>65691000</t>
        </is>
      </c>
    </row>
    <row r="1420" ht="18" customHeight="1">
      <c r="A1420" s="2" t="inlineStr">
        <is>
          <t>Hn An &lt;aeaxn.22@gmail.com&gt;</t>
        </is>
      </c>
      <c r="B1420" s="3" t="inlineStr">
        <is>
          <t>aeaxn.22@gmail.com</t>
        </is>
      </c>
      <c r="C1420" s="2">
        <f>?utf-8?B?2KfZhNix2KzYp9ihINmF2LPYrSAg2KfZhNin2LPYp9im2Yc=?=</f>
        <v/>
      </c>
      <c r="D1420" s="2" t="inlineStr">
        <is>
          <t>Hello! How can we help you?  Report وزباله و بنت تسال و تشرد : 65691000   ‫أُرسلت من الـ iPhone‬</t>
        </is>
      </c>
      <c r="E1420" s="4" t="inlineStr">
        <is>
          <t>65691000</t>
        </is>
      </c>
    </row>
    <row r="1421" ht="18" customHeight="1">
      <c r="A1421" s="5" t="inlineStr">
        <is>
          <t>Hn An &lt;aeaxn.22@gmail.com&gt;</t>
        </is>
      </c>
      <c r="B1421" s="6" t="inlineStr">
        <is>
          <t>aeaxn.22@gmail.com</t>
        </is>
      </c>
      <c r="C1421" s="5">
        <f>?utf-8?B?2KfZhNix2KzYp9ihINmF2LPYrSAg2KfZhNin2LPYp9im2Yc=?=</f>
        <v/>
      </c>
      <c r="D1421" s="5" t="inlineStr">
        <is>
          <t>Hello! How can we help you?  Report وزباله و بنت تسال و تشرد : 65691000   ‫أُرسلت من الـ iPhone‬</t>
        </is>
      </c>
      <c r="E1421" s="7" t="inlineStr">
        <is>
          <t>65691000</t>
        </is>
      </c>
    </row>
    <row r="1422" ht="18" customHeight="1">
      <c r="A1422" s="2" t="inlineStr">
        <is>
          <t>Hn An &lt;aeaxn.22@gmail.com&gt;</t>
        </is>
      </c>
      <c r="B1422" s="3" t="inlineStr">
        <is>
          <t>aeaxn.22@gmail.com</t>
        </is>
      </c>
      <c r="C1422" s="2">
        <f>?utf-8?B?2KfZhNix2KzYp9ihINmF2LPYrSAg2KfZhNin2LPYp9im2Yc=?=</f>
        <v/>
      </c>
      <c r="D1422" s="2" t="inlineStr">
        <is>
          <t>Hello! How can we help you?  Report وزباله و بنت تسال و تشرد : 65691000   ‫أُرسلت من الـ iPhone‬</t>
        </is>
      </c>
      <c r="E1422" s="4" t="inlineStr">
        <is>
          <t>65691000</t>
        </is>
      </c>
    </row>
    <row r="1423" ht="18" customHeight="1">
      <c r="A1423" s="5" t="inlineStr">
        <is>
          <t>Hn An &lt;aeaxn.22@gmail.com&gt;</t>
        </is>
      </c>
      <c r="B1423" s="6" t="inlineStr">
        <is>
          <t>aeaxn.22@gmail.com</t>
        </is>
      </c>
      <c r="C1423" s="5">
        <f>?utf-8?B?2KfZhNix2KzYp9ihINmF2LPYrSAg2KfZhNin2LPYp9im2Yc=?=</f>
        <v/>
      </c>
      <c r="D1423" s="5" t="inlineStr">
        <is>
          <t>Hello! How can we help you?  Report وزباله و بنت تسال و تشرد : 65691000   ‫أُرسلت من الـ iPhone‬</t>
        </is>
      </c>
      <c r="E1423" s="7" t="inlineStr">
        <is>
          <t>65691000</t>
        </is>
      </c>
    </row>
    <row r="1424" ht="18" customHeight="1">
      <c r="A1424" s="2" t="inlineStr">
        <is>
          <t>Hn An &lt;aeaxn.22@gmail.com&gt;</t>
        </is>
      </c>
      <c r="B1424" s="3" t="inlineStr">
        <is>
          <t>aeaxn.22@gmail.com</t>
        </is>
      </c>
      <c r="C1424" s="2">
        <f>?utf-8?B?2KfZhNix2KzYp9ihINmF2LPYrSAg2KfZhNin2LPYp9im2Yc=?=</f>
        <v/>
      </c>
      <c r="D1424" s="2" t="inlineStr">
        <is>
          <t>Hello! How can we help you?  Report وزباله و بنت تسال و تشرد : 65691000   ‫أُرسلت من الـ iPhone‬</t>
        </is>
      </c>
      <c r="E1424" s="4" t="inlineStr">
        <is>
          <t>65691000</t>
        </is>
      </c>
    </row>
    <row r="1425" ht="18" customHeight="1">
      <c r="A1425" s="5" t="inlineStr">
        <is>
          <t>Mostafa Khalaf &lt;masry22m@icloud.com&gt;</t>
        </is>
      </c>
      <c r="B1425" s="6" t="inlineStr">
        <is>
          <t>masry22m@icloud.com</t>
        </is>
      </c>
      <c r="C1425" s="5">
        <f>?utf-8?B?2YfYsNinINin2YTZhdiz2YXZiSDYutmK2LEg2YTYp9im2YIg?=</f>
        <v/>
      </c>
      <c r="D1425" s="5" t="inlineStr">
        <is>
          <t>Hello! How can we help you?  Report مصطفي كيمياء ضعيف : 94901676   ‫أُرسلت من الـ iPhone‬</t>
        </is>
      </c>
      <c r="E1425" s="7" t="inlineStr">
        <is>
          <t>94901676</t>
        </is>
      </c>
    </row>
    <row r="1426" ht="18" customHeight="1">
      <c r="A1426" s="2" t="inlineStr">
        <is>
          <t>"mahmoud. f98" &lt;mahmoudfares19980@gmail.com&gt;</t>
        </is>
      </c>
      <c r="B1426" s="3" t="inlineStr">
        <is>
          <t>mahmoudfares19980@gmail.com</t>
        </is>
      </c>
      <c r="C1426" s="2">
        <f>?utf-8?B?2KfYs9mFICjZhNmB2LYg2YLYqNmK2K0p?=</f>
        <v/>
      </c>
      <c r="D1426" s="2" t="inlineStr">
        <is>
          <t>Hello! How can we help you?  Report محمود خصوتين : 99458140   ‫أُرسلت من الـ iPhone‬</t>
        </is>
      </c>
      <c r="E1426" s="4" t="inlineStr">
        <is>
          <t>99458140</t>
        </is>
      </c>
    </row>
    <row r="1427" ht="18" customHeight="1">
      <c r="A1427" s="5" t="inlineStr">
        <is>
          <t>Abrar Alqallaf &lt;abraralqallaf303@gmail.com&gt;</t>
        </is>
      </c>
      <c r="B1427" s="6" t="inlineStr">
        <is>
          <t>abraralqallaf303@gmail.com</t>
        </is>
      </c>
      <c r="C1427" s="5">
        <f>?utf-8?B?2KfYqNmKINit2YQg?=</f>
        <v/>
      </c>
      <c r="D1427" s="5" t="inlineStr">
        <is>
          <t xml:space="preserve">Hello! How can we help you?  Report ابرار علي : 96067773   1-ابرار القلاف وزاره الشؤون الاسلاميه   2-عايلتي واسم ابوي ووين اداوم ياليت تمسحونه يسبب مشكله هالشي لو سمحتو   </t>
        </is>
      </c>
      <c r="E1427" s="7" t="inlineStr">
        <is>
          <t>96067773</t>
        </is>
      </c>
    </row>
    <row r="1428" ht="18" customHeight="1">
      <c r="A1428" s="2" t="inlineStr">
        <is>
          <t>Bo khaled &lt;saleh.ftw@gmail.com&gt;</t>
        </is>
      </c>
      <c r="B1428" s="3" t="inlineStr">
        <is>
          <t>saleh.ftw@gmail.com</t>
        </is>
      </c>
      <c r="C1428" s="2">
        <f>?UTF-8?B?2KfYsNinINiq2YUg2LnZhdmEINio2YTZiNmDINmI2K/Zgdi5INi52YYg2LfYsdmK2YIg?= 	=?UTF-8?B?2KfZhNmB2YrYstinIC0g2YXYsdiq2YrZhg==?=</f>
        <v/>
      </c>
      <c r="D1428" s="2" t="inlineStr">
        <is>
          <t xml:space="preserve">اذا تم عمل بلوك ودفع عن طريق الفيزا - مرتين  هل يتم ازالة البلوك ؟؟؟ </t>
        </is>
      </c>
      <c r="E1428" s="4" t="inlineStr"/>
    </row>
    <row r="1429" ht="18" customHeight="1">
      <c r="A1429" s="5" t="inlineStr">
        <is>
          <t>Dana Shamiri &lt;dfs.30@icloud.com&gt;</t>
        </is>
      </c>
      <c r="B1429" s="6" t="inlineStr">
        <is>
          <t>dfs.30@icloud.com</t>
        </is>
      </c>
      <c r="C1429" s="5">
        <f>?utf-8?B?2YPZhNin2YUg2KjYsNmK2KEg?=</f>
        <v/>
      </c>
      <c r="D1429" s="5" t="inlineStr">
        <is>
          <t>Hello! How can we help you?  Report ف : 63330960    ‫أُرسلت من الـ iPhone‬</t>
        </is>
      </c>
      <c r="E1429" s="7" t="inlineStr">
        <is>
          <t>63330960</t>
        </is>
      </c>
    </row>
    <row r="1430" ht="18" customHeight="1">
      <c r="A1430" s="2" t="inlineStr">
        <is>
          <t>Dana Shamiri &lt;dfs.30@icloud.com&gt;</t>
        </is>
      </c>
      <c r="B1430" s="3" t="inlineStr">
        <is>
          <t>dfs.30@icloud.com</t>
        </is>
      </c>
      <c r="C1430" s="2">
        <f>?utf-8?B?2YPZhNin2YUg2KjYsNmK2KEg?=</f>
        <v/>
      </c>
      <c r="D1430" s="2" t="inlineStr">
        <is>
          <t>Hello! How can we help you?  Report 63330960 : 63330960    ‫أُرسلت من الـ iPhone‬</t>
        </is>
      </c>
      <c r="E1430" s="4" t="inlineStr">
        <is>
          <t>63330960</t>
        </is>
      </c>
    </row>
    <row r="1431" ht="18" customHeight="1">
      <c r="A1431" s="5" t="inlineStr">
        <is>
          <t>Zahra S &lt;s_zahra_d@icloud.com&gt;</t>
        </is>
      </c>
      <c r="B1431" s="6" t="inlineStr">
        <is>
          <t>s_zahra_d@icloud.com</t>
        </is>
      </c>
      <c r="C1431" s="5" t="inlineStr"/>
      <c r="D1431" s="5" t="inlineStr">
        <is>
          <t>Hello! How can we help you?      Sent from my iPhone</t>
        </is>
      </c>
      <c r="E1431" s="7" t="inlineStr"/>
    </row>
    <row r="1432" ht="18" customHeight="1">
      <c r="A1432" s="2" t="inlineStr">
        <is>
          <t>Dana Shamiri &lt;dfs.30@icloud.com&gt;</t>
        </is>
      </c>
      <c r="B1432" s="3" t="inlineStr">
        <is>
          <t>dfs.30@icloud.com</t>
        </is>
      </c>
      <c r="C1432" s="2">
        <f>?utf-8?B?2YPZhNin2YUg2KjYsNmK2KE=?=</f>
        <v/>
      </c>
      <c r="D1432" s="2" t="inlineStr">
        <is>
          <t>Hello! How can we help you?  Report ج ج ق5 : 63330960    ‫أُرسلت من الـ iPhone‬</t>
        </is>
      </c>
      <c r="E1432" s="4" t="inlineStr">
        <is>
          <t>63330960</t>
        </is>
      </c>
    </row>
    <row r="1433" ht="18" customHeight="1">
      <c r="A1433" s="5" t="inlineStr">
        <is>
          <t>Dana Shamiri &lt;dfs.30@icloud.com&gt;</t>
        </is>
      </c>
      <c r="B1433" s="6" t="inlineStr">
        <is>
          <t>dfs.30@icloud.com</t>
        </is>
      </c>
      <c r="C1433" s="5">
        <f>?utf-8?B?2YPZhNin2YUg2KjYsNmK2KE=?=</f>
        <v/>
      </c>
      <c r="D1433" s="5" t="inlineStr">
        <is>
          <t>Hello! How can we help you?  Report ام عبدالله استلام سعدعبدالله ق5 : 63330960    ‫أُرسلت من الـ iPhone‬</t>
        </is>
      </c>
      <c r="E1433" s="7" t="inlineStr">
        <is>
          <t>63330960</t>
        </is>
      </c>
    </row>
    <row r="1434" ht="18" customHeight="1">
      <c r="A1434" s="2" t="inlineStr">
        <is>
          <t>Dana Shamiri &lt;dfs.30@icloud.com&gt;</t>
        </is>
      </c>
      <c r="B1434" s="3" t="inlineStr">
        <is>
          <t>dfs.30@icloud.com</t>
        </is>
      </c>
      <c r="C1434" s="2">
        <f>?utf-8?B?2YPZhNin2YUg2KjYsNmK2KE=?=</f>
        <v/>
      </c>
      <c r="D1434" s="2" t="inlineStr">
        <is>
          <t xml:space="preserve">  Hello! How can we help you?  Report Dana : 63330960    ‫أُرسلت من الـ iPhone‬</t>
        </is>
      </c>
      <c r="E1434" s="4" t="inlineStr">
        <is>
          <t>63330960</t>
        </is>
      </c>
    </row>
    <row r="1435" ht="18" customHeight="1">
      <c r="A1435" s="5" t="inlineStr">
        <is>
          <t>Safwa Mohamed farghaly &lt;safwa.mohamed8464@gmail.com&gt;</t>
        </is>
      </c>
      <c r="B1435" s="6" t="inlineStr">
        <is>
          <t>safwa.mohamed8464@gmail.com</t>
        </is>
      </c>
      <c r="C1435" s="5">
        <f>?utf-8?B?2LnZhtmI2KfZhg==?=</f>
        <v/>
      </c>
      <c r="D1435" s="5" t="inlineStr">
        <is>
          <t>Hello! How can we help you?  Report محمد زهراء ق5ش508م7 : 90069669   Sent from my iPhone</t>
        </is>
      </c>
      <c r="E1435" s="7" t="inlineStr">
        <is>
          <t>90069669</t>
        </is>
      </c>
    </row>
    <row r="1436" ht="18" customHeight="1">
      <c r="A1436" s="2">
        <f>?utf-8?B?2K3ZhdivINin2YTZgtit2LfYp9mG2Yo=?= &lt;ha0444513@gmail.com&gt;</f>
        <v/>
      </c>
      <c r="B1436" s="3" t="inlineStr">
        <is>
          <t>ha0444513@gmail.com</t>
        </is>
      </c>
      <c r="C1436" s="2">
        <f>?utf-8?B?2YXYs9itINin2YTYp9iz2YU=?=</f>
        <v/>
      </c>
      <c r="D1436" s="2" t="inlineStr">
        <is>
          <t>Hello! How can we help you?  Report لو فبيرد 18 : 94955710   ‫أُرسلت من الـ iPhone‬</t>
        </is>
      </c>
      <c r="E1436" s="4" t="inlineStr">
        <is>
          <t>94955710</t>
        </is>
      </c>
    </row>
    <row r="1437" ht="18" customHeight="1">
      <c r="A1437" s="5">
        <f>?utf-8?B?2K3ZhdivINin2YTZgtit2LfYp9mG2Yo=?= &lt;ha0444513@gmail.com&gt;</f>
        <v/>
      </c>
      <c r="B1437" s="6" t="inlineStr">
        <is>
          <t>ha0444513@gmail.com</t>
        </is>
      </c>
      <c r="C1437" s="5">
        <f>?utf-8?B?2YXYs9itINin2YTYp9iz2YU=?=</f>
        <v/>
      </c>
      <c r="D1437" s="5" t="inlineStr">
        <is>
          <t>Hello! How can we help you?  Report مطلوب لوف بيرد : 94955710   ‫أُرسلت من الـ iPhone‬</t>
        </is>
      </c>
      <c r="E1437" s="7" t="inlineStr">
        <is>
          <t>94955710</t>
        </is>
      </c>
    </row>
    <row r="1438" ht="18" customHeight="1">
      <c r="A1438" s="2">
        <f>?utf-8?B?2K3ZhdivINin2YTZgtit2LfYp9mG2Yo=?= &lt;ha0444513@gmail.com&gt;</f>
        <v/>
      </c>
      <c r="B1438" s="3" t="inlineStr">
        <is>
          <t>ha0444513@gmail.com</t>
        </is>
      </c>
      <c r="C1438" s="2">
        <f>?utf-8?B?2YXYs9itINin2YTYp9iz2YU=?=</f>
        <v/>
      </c>
      <c r="D1438" s="2" t="inlineStr">
        <is>
          <t>Hello! How can we help you?  Report khyri 16 : 94955710   ‫أُرسلت من الـ iPhone‬</t>
        </is>
      </c>
      <c r="E1438" s="4" t="inlineStr">
        <is>
          <t>94955710</t>
        </is>
      </c>
    </row>
    <row r="1439" ht="18" customHeight="1">
      <c r="A1439" s="5">
        <f>?utf-8?Q?=D9=85=D8=AD=D9=85=D8=AF_Ali?= &lt;schivwadux24t@gmail.com&gt;</f>
        <v/>
      </c>
      <c r="B1439" s="6" t="inlineStr">
        <is>
          <t>schivwadux24t@gmail.com</t>
        </is>
      </c>
      <c r="C1439" s="5">
        <f>?utf-8?B?2KjZhtmK2YbZitmG?=</f>
        <v/>
      </c>
      <c r="D1439" s="5" t="inlineStr">
        <is>
          <t>Hello! How can we help you?  Report متطفلين حسب بلاغات من بلدك KW :   ‫أُرسلت من الـ iPhone‬</t>
        </is>
      </c>
      <c r="E1439" s="7" t="inlineStr"/>
    </row>
    <row r="1440" ht="18" customHeight="1">
      <c r="A1440" s="2">
        <f>?utf-8?Q?=D9=85=D8=AD=D9=85=D8=AF_Ali?= &lt;schivwadux24t@gmail.com&gt;</f>
        <v/>
      </c>
      <c r="B1440" s="3" t="inlineStr">
        <is>
          <t>schivwadux24t@gmail.com</t>
        </is>
      </c>
      <c r="C1440" s="2">
        <f>?utf-8?B?2YjZitmG2YrZiA==?=</f>
        <v/>
      </c>
      <c r="D1440" s="2" t="inlineStr">
        <is>
          <t>Hello! How can we help you?  Report متطفلين حسب بلاغات من بلدك KW :   ‫أُرسلت من الـ iPhone‬</t>
        </is>
      </c>
      <c r="E1440" s="4" t="inlineStr"/>
    </row>
    <row r="1441" ht="18" customHeight="1">
      <c r="A1441" s="5">
        <f>?utf-8?Q?=D9=85=D8=AD=D9=85=D8=AF_Ali?= &lt;schivwadux24t@gmail.com&gt;</f>
        <v/>
      </c>
      <c r="B1441" s="6" t="inlineStr">
        <is>
          <t>schivwadux24t@gmail.com</t>
        </is>
      </c>
      <c r="C1441" s="5">
        <f>?utf-8?B?2YrYqtmK2Yg=?=</f>
        <v/>
      </c>
      <c r="D1441" s="5" t="inlineStr">
        <is>
          <t>مHello! How can we help you?  Report محمد ولد اختي : 66694970   ‫أُرسلت من الـ iPhone‬</t>
        </is>
      </c>
      <c r="E1441" s="7" t="inlineStr">
        <is>
          <t>66694970</t>
        </is>
      </c>
    </row>
    <row r="1442" ht="18" customHeight="1">
      <c r="A1442" s="2">
        <f>?utf-8?Q?=D9=85=D8=AD=D9=85=D8=AF_Ali?= &lt;schivwadux24t@gmail.com&gt;</f>
        <v/>
      </c>
      <c r="B1442" s="3" t="inlineStr">
        <is>
          <t>schivwadux24t@gmail.com</t>
        </is>
      </c>
      <c r="C1442" s="2">
        <f>?utf-8?B?2KrZitiq?=</f>
        <v/>
      </c>
      <c r="D1442" s="2" t="inlineStr">
        <is>
          <t>Hello! How can we help you?  Report محمد ولد اختي : 66694970   ‫أُرسلت من الـ iPhone‬</t>
        </is>
      </c>
      <c r="E1442" s="4" t="inlineStr">
        <is>
          <t>66694970</t>
        </is>
      </c>
    </row>
    <row r="1443" ht="18" customHeight="1">
      <c r="A1443" s="5">
        <f>?utf-8?Q?=D9=85=D8=AD=D9=85=D8=AF_Ali?= &lt;schivwadux24t@gmail.com&gt;</f>
        <v/>
      </c>
      <c r="B1443" s="6" t="inlineStr">
        <is>
          <t>schivwadux24t@gmail.com</t>
        </is>
      </c>
      <c r="C1443" s="5">
        <f>?utf-8?B?2YrZiNmK2Yg=?=</f>
        <v/>
      </c>
      <c r="D1443" s="5" t="inlineStr">
        <is>
          <t>Hello! How can we help you?  Report محمد ولد اختي : 66694970   ‫أُرسلت من الـ iPhone‬</t>
        </is>
      </c>
      <c r="E1443" s="7" t="inlineStr">
        <is>
          <t>66694970</t>
        </is>
      </c>
    </row>
    <row r="1444" ht="18" customHeight="1">
      <c r="A1444" s="2">
        <f>?utf-8?Q?=D9=85=D8=AD=D9=85=D8=AF_Ali?= &lt;schivwadux24t@gmail.com&gt;</f>
        <v/>
      </c>
      <c r="B1444" s="3" t="inlineStr">
        <is>
          <t>schivwadux24t@gmail.com</t>
        </is>
      </c>
      <c r="C1444" s="2">
        <f>?utf-8?B?2YrZiNmK?=</f>
        <v/>
      </c>
      <c r="D1444" s="2" t="inlineStr">
        <is>
          <t>Hello! How can we help you?  Report محمد ضاحي الواحة : 66694970   ‫أُرسلت من الـ iPhone‬</t>
        </is>
      </c>
      <c r="E1444" s="4" t="inlineStr">
        <is>
          <t>66694970</t>
        </is>
      </c>
    </row>
    <row r="1445" ht="18" customHeight="1">
      <c r="A1445" s="5">
        <f>?utf-8?Q?=D9=85=D8=AD=D9=85=D8=AF_Ali?= &lt;schivwadux24t@gmail.com&gt;</f>
        <v/>
      </c>
      <c r="B1445" s="6" t="inlineStr">
        <is>
          <t>schivwadux24t@gmail.com</t>
        </is>
      </c>
      <c r="C1445" s="5">
        <f>?utf-8?B?2YrYqtmK?=</f>
        <v/>
      </c>
      <c r="D1445" s="5" t="inlineStr">
        <is>
          <t>Hello! How can we help you?  Report محمد علي الضاحي : 66694970   ‫أُرسلت من الـ iPhone‬</t>
        </is>
      </c>
      <c r="E1445" s="7" t="inlineStr">
        <is>
          <t>66694970</t>
        </is>
      </c>
    </row>
    <row r="1446" ht="18" customHeight="1">
      <c r="A1446" s="2">
        <f>?utf-8?Q?=D9=85=D8=AD=D9=85=D8=AF_Ali?= &lt;schivwadux24t@gmail.com&gt;</f>
        <v/>
      </c>
      <c r="B1446" s="3" t="inlineStr">
        <is>
          <t>schivwadux24t@gmail.com</t>
        </is>
      </c>
      <c r="C1446" s="2">
        <f>?utf-8?B?2LPYpg==?=</f>
        <v/>
      </c>
      <c r="D1446" s="2" t="inlineStr">
        <is>
          <t>Hello! How can we help you?  Report محمد علي الضاحي : 66694970   ‫أُرسلت من الـ iPhone‬</t>
        </is>
      </c>
      <c r="E1446" s="4" t="inlineStr">
        <is>
          <t>66694970</t>
        </is>
      </c>
    </row>
    <row r="1447" ht="18" customHeight="1">
      <c r="A1447" s="5">
        <f>?utf-8?Q?=D9=85=D8=AD=D9=85=D8=AF_Ali?= &lt;schivwadux24t@gmail.com&gt;</f>
        <v/>
      </c>
      <c r="B1447" s="6" t="inlineStr">
        <is>
          <t>schivwadux24t@gmail.com</t>
        </is>
      </c>
      <c r="C1447" s="5">
        <f>?utf-8?B?2LPYpg==?=</f>
        <v/>
      </c>
      <c r="D1447" s="5" t="inlineStr">
        <is>
          <t>Hello! How can we help you?  Report محمد ضاحي الواحة : 66694970   ‫أُرسلت من الـ iPhone‬</t>
        </is>
      </c>
      <c r="E1447" s="7" t="inlineStr">
        <is>
          <t>66694970</t>
        </is>
      </c>
    </row>
    <row r="1448" ht="18" customHeight="1">
      <c r="A1448" s="2" t="inlineStr">
        <is>
          <t>Store App &lt;kuw9080q@gmail.com&gt;</t>
        </is>
      </c>
      <c r="B1448" s="3" t="inlineStr">
        <is>
          <t>kuw9080q@gmail.com</t>
        </is>
      </c>
      <c r="C1448" s="2">
        <f>?utf-8?B?2YrYs9io2Kgg2YTZiiDZh9iw2Kcg2KfZhNin2LPZhSDZhdi02Kc=?=  =?utf-8?B?2YPZhCDZhdi5INin2YfZhNmK?=</f>
        <v/>
      </c>
      <c r="D1448" s="2" t="inlineStr">
        <is>
          <t>Hello! How can we help you?  Report ناصر-نصيب : 99230895   ‫أُرسلت من الـ iPhone‬</t>
        </is>
      </c>
      <c r="E1448" s="4" t="inlineStr">
        <is>
          <t>99230895</t>
        </is>
      </c>
    </row>
    <row r="1449" ht="18" customHeight="1">
      <c r="A1449" s="5" t="inlineStr">
        <is>
          <t>Dhari Bq &lt;dhari.bg@gmail.com&gt;</t>
        </is>
      </c>
      <c r="B1449" s="6" t="inlineStr">
        <is>
          <t>dhari.bg@gmail.com</t>
        </is>
      </c>
      <c r="C1449" s="5" t="inlineStr"/>
      <c r="D1449" s="5" t="inlineStr">
        <is>
          <t xml:space="preserve">اعلم بأن الرقم محجوب لأنني انا اشتريت خدمة البلوك  ولكن الاساءات على رقمي لم يتم مسحها  99111979  اريد اعطائي عنوان الشركه او رقم احد من الاداره لكي اتواصل معه  قبل ان اتخذ الاجراءات القانونيه ضد شركتكم بتهمة الابتزاز  و هذه صور الاساءات على رقمي </t>
        </is>
      </c>
      <c r="E1449" s="7" t="inlineStr">
        <is>
          <t>99111979</t>
        </is>
      </c>
    </row>
    <row r="1450" ht="18" customHeight="1">
      <c r="A1450" s="2" t="inlineStr">
        <is>
          <t>Dhari Bq &lt;dhari.bg@gmail.com&gt;</t>
        </is>
      </c>
      <c r="B1450" s="3" t="inlineStr">
        <is>
          <t>dhari.bg@gmail.com</t>
        </is>
      </c>
      <c r="C1450" s="2" t="inlineStr"/>
      <c r="D1450" s="2" t="inlineStr">
        <is>
          <t xml:space="preserve">اعلم بأن الرقم محجوب لأنني انا اشتريت خدمة البلوك  ولكن الاساءات على رقمي لم يتم مسحها  99111979  اريد اعطائي عنوان الشركه او رقم احد من الاداره لكي اتواصل معه  قبل ان اتخذ الاجراءات القانونيه ضد شركتكم بتهمة الابتزاز  و هذه صور الاساءات على رقمي </t>
        </is>
      </c>
      <c r="E1450" s="4" t="inlineStr">
        <is>
          <t>99111979</t>
        </is>
      </c>
    </row>
    <row r="1451" ht="18" customHeight="1">
      <c r="A1451" s="5" t="inlineStr">
        <is>
          <t>maali alshrifi &lt;maalialshrifi@yahoo.com&gt;</t>
        </is>
      </c>
      <c r="B1451" s="6" t="inlineStr">
        <is>
          <t>maalialshrifi@yahoo.com</t>
        </is>
      </c>
      <c r="C1451" s="5" t="inlineStr"/>
      <c r="D1451" s="5" t="inlineStr">
        <is>
          <t xml:space="preserve">Hello! How can we help you?  Report ز ام ضاري العارضيه ق4 ش2 م8 : 66176361   Sent from my iPhone  الرجاء حذف العنوان للخصوصيه </t>
        </is>
      </c>
      <c r="E1451" s="7" t="inlineStr">
        <is>
          <t>66176361</t>
        </is>
      </c>
    </row>
    <row r="1452" ht="18" customHeight="1">
      <c r="A1452" s="2" t="inlineStr">
        <is>
          <t>Hn An &lt;aeaxn.22@gmail.com&gt;</t>
        </is>
      </c>
      <c r="B1452" s="3" t="inlineStr">
        <is>
          <t>aeaxn.22@gmail.com</t>
        </is>
      </c>
      <c r="C1452" s="2">
        <f>?utf-8?B?2KfZhNix2KzYp9ihINmF2LPYrSDYp9mE2KfYs9in2KbZhw==?=</f>
        <v/>
      </c>
      <c r="D1452" s="2" t="inlineStr">
        <is>
          <t>Hello! How can we help you?  Report وزباله و بنت تسال و تشرد : 65691000   ‫أُرسلت من الـ iPhone‬</t>
        </is>
      </c>
      <c r="E1452" s="4" t="inlineStr">
        <is>
          <t>65691000</t>
        </is>
      </c>
    </row>
    <row r="1453" ht="18" customHeight="1">
      <c r="A1453" s="5" t="inlineStr">
        <is>
          <t>Hn An &lt;aeaxn.22@gmail.com&gt;</t>
        </is>
      </c>
      <c r="B1453" s="6" t="inlineStr">
        <is>
          <t>aeaxn.22@gmail.com</t>
        </is>
      </c>
      <c r="C1453" s="5">
        <f>?utf-8?B?2KfZhNix2KzYp9ihINmF2LPYrSDYp9mE2KfYs9in2KbZhw==?=</f>
        <v/>
      </c>
      <c r="D1453" s="5" t="inlineStr">
        <is>
          <t>Hello! How can we help you?  Report وزباله و بنت تسال و تشرد : 65691000   ‫أُرسلت من الـ iPhone‬</t>
        </is>
      </c>
      <c r="E1453" s="7" t="inlineStr">
        <is>
          <t>65691000</t>
        </is>
      </c>
    </row>
    <row r="1454" ht="18" customHeight="1">
      <c r="A1454" s="2" t="inlineStr">
        <is>
          <t>Hn An &lt;aeaxn.22@gmail.com&gt;</t>
        </is>
      </c>
      <c r="B1454" s="3" t="inlineStr">
        <is>
          <t>aeaxn.22@gmail.com</t>
        </is>
      </c>
      <c r="C1454" s="2">
        <f>?utf-8?B?2KfZhNix2KzYp9ihINmF2LPYrSDYp9mE2KfYs9in2KbZhw==?=</f>
        <v/>
      </c>
      <c r="D1454" s="2" t="inlineStr">
        <is>
          <t>Hello! How can we help you?  Report وزباله و بنت تسال و تشرد : 65691000   ‫أُرسلت من الـ iPhone‬</t>
        </is>
      </c>
      <c r="E1454" s="4" t="inlineStr">
        <is>
          <t>65691000</t>
        </is>
      </c>
    </row>
    <row r="1455" ht="18" customHeight="1">
      <c r="A1455" s="5" t="inlineStr">
        <is>
          <t>Hn An &lt;aeaxn.22@gmail.com&gt;</t>
        </is>
      </c>
      <c r="B1455" s="6" t="inlineStr">
        <is>
          <t>aeaxn.22@gmail.com</t>
        </is>
      </c>
      <c r="C1455" s="5">
        <f>?utf-8?B?2KfZhNix2KzYp9ihINmF2LPYrSDYp9mE2KfYs9in2KbZhw==?=</f>
        <v/>
      </c>
      <c r="D1455" s="5" t="inlineStr">
        <is>
          <t>Hello! How can we help you?  Report وزباله و بنت تسال و تشرد : 65691000   ‫أُرسلت من الـ iPhone‬</t>
        </is>
      </c>
      <c r="E1455" s="7" t="inlineStr">
        <is>
          <t>65691000</t>
        </is>
      </c>
    </row>
    <row r="1456" ht="18" customHeight="1">
      <c r="A1456" s="2" t="inlineStr">
        <is>
          <t>Hn An &lt;aeaxn.22@gmail.com&gt;</t>
        </is>
      </c>
      <c r="B1456" s="3" t="inlineStr">
        <is>
          <t>aeaxn.22@gmail.com</t>
        </is>
      </c>
      <c r="C1456" s="2">
        <f>?utf-8?B?2KfZhNix2KzYp9ihINmF2LPYrSDYp9mE2KfYs9in2KbZhw==?=</f>
        <v/>
      </c>
      <c r="D1456" s="2" t="inlineStr">
        <is>
          <t>Hello! How can we help you?  Report وزباله و بنت تسال و تشرد : 65691000   ‫أُرسلت من الـ iPhone‬</t>
        </is>
      </c>
      <c r="E1456" s="4" t="inlineStr">
        <is>
          <t>65691000</t>
        </is>
      </c>
    </row>
    <row r="1457" ht="18" customHeight="1">
      <c r="A1457" s="5" t="inlineStr">
        <is>
          <t>Hn An &lt;aeaxn.22@gmail.com&gt;</t>
        </is>
      </c>
      <c r="B1457" s="6" t="inlineStr">
        <is>
          <t>aeaxn.22@gmail.com</t>
        </is>
      </c>
      <c r="C1457" s="5">
        <f>?utf-8?B?2KfZhNix2KzYp9ihINmF2LPYrSDYp9mE2KfYs9in2KbZhw==?=</f>
        <v/>
      </c>
      <c r="D1457" s="5" t="inlineStr">
        <is>
          <t>Hello! How can we help you?  Report وزباله و بنت تسال و تشرد : 65691000   ‫أُرسلت من الـ iPhone‬</t>
        </is>
      </c>
      <c r="E1457" s="7" t="inlineStr">
        <is>
          <t>65691000</t>
        </is>
      </c>
    </row>
    <row r="1458" ht="18" customHeight="1">
      <c r="A1458" s="2" t="inlineStr">
        <is>
          <t>Hn An &lt;aeaxn.22@gmail.com&gt;</t>
        </is>
      </c>
      <c r="B1458" s="3" t="inlineStr">
        <is>
          <t>aeaxn.22@gmail.com</t>
        </is>
      </c>
      <c r="C1458" s="2">
        <f>?utf-8?B?2KfZhNix2KzYp9ihINmF2LPYrSDYp9mE2KfYs9in2KbZhw==?=</f>
        <v/>
      </c>
      <c r="D1458" s="2" t="inlineStr">
        <is>
          <t>Hello! How can we help you?  Report وزباله و بنت تسال و تشرد : 65691000   ‫أُرسلت من الـ iPhone‬</t>
        </is>
      </c>
      <c r="E1458" s="4" t="inlineStr">
        <is>
          <t>65691000</t>
        </is>
      </c>
    </row>
    <row r="1459" ht="18" customHeight="1">
      <c r="A1459" s="5" t="inlineStr">
        <is>
          <t>Hn An &lt;aeaxn.22@gmail.com&gt;</t>
        </is>
      </c>
      <c r="B1459" s="6" t="inlineStr">
        <is>
          <t>aeaxn.22@gmail.com</t>
        </is>
      </c>
      <c r="C1459" s="5">
        <f>?utf-8?B?2KfZhNix2KzYp9ihINmF2LPYrSDYp9mE2KfYs9in2KbZhw==?=</f>
        <v/>
      </c>
      <c r="D1459" s="5" t="inlineStr">
        <is>
          <t>Hello! How can we help you?  Report وزباله و بنت تسال و تشرد : 65691000   ‫أُرسلت من الـ iPhone‬</t>
        </is>
      </c>
      <c r="E1459" s="7" t="inlineStr">
        <is>
          <t>65691000</t>
        </is>
      </c>
    </row>
    <row r="1460" ht="18" customHeight="1">
      <c r="A1460" s="2" t="inlineStr">
        <is>
          <t>Hn An &lt;aeaxn.22@gmail.com&gt;</t>
        </is>
      </c>
      <c r="B1460" s="3" t="inlineStr">
        <is>
          <t>aeaxn.22@gmail.com</t>
        </is>
      </c>
      <c r="C1460" s="2">
        <f>?utf-8?B?2KfZhNix2KzYp9ihINmF2LPYrSDYp9mE2KfYs9in2KbZhw==?=</f>
        <v/>
      </c>
      <c r="D1460" s="2" t="inlineStr">
        <is>
          <t>Hello! How can we help you?  Report وزباله و بنت تسال و تشرد : 65691000   ‫أُرسلت من الـ iPhone‬</t>
        </is>
      </c>
      <c r="E1460" s="4" t="inlineStr">
        <is>
          <t>65691000</t>
        </is>
      </c>
    </row>
    <row r="1461" ht="18" customHeight="1">
      <c r="A1461" s="5" t="inlineStr">
        <is>
          <t>Hn An &lt;aeaxn.22@gmail.com&gt;</t>
        </is>
      </c>
      <c r="B1461" s="6" t="inlineStr">
        <is>
          <t>aeaxn.22@gmail.com</t>
        </is>
      </c>
      <c r="C1461" s="5">
        <f>?utf-8?B?2KfZhNix2KzYp9ihINmF2LPYrSDYp9mE2KfYs9in2KbZhw==?=</f>
        <v/>
      </c>
      <c r="D1461" s="5" t="inlineStr">
        <is>
          <t>Hello! How can we help you?  Report وزباله و بنت تسال و تشرد : 65691000   ‫أُرسلت من الـ iPhone‬</t>
        </is>
      </c>
      <c r="E1461" s="7" t="inlineStr">
        <is>
          <t>65691000</t>
        </is>
      </c>
    </row>
    <row r="1462" ht="18" customHeight="1">
      <c r="A1462" s="2" t="inlineStr">
        <is>
          <t>Hn An &lt;aeaxn.22@gmail.com&gt;</t>
        </is>
      </c>
      <c r="B1462" s="3" t="inlineStr">
        <is>
          <t>aeaxn.22@gmail.com</t>
        </is>
      </c>
      <c r="C1462" s="2">
        <f>?utf-8?B?2KfZhNix2KzYp9ihINmF2LPYrSDYp9mE2KfYs9in2KbZhw==?=</f>
        <v/>
      </c>
      <c r="D1462" s="2" t="inlineStr">
        <is>
          <t>Hello! How can we help you?  Report وزباله و بنت تسال و تشرد : 65691000   ‫أُرسلت من الـ iPhone‬</t>
        </is>
      </c>
      <c r="E1462" s="4" t="inlineStr">
        <is>
          <t>65691000</t>
        </is>
      </c>
    </row>
    <row r="1463" ht="18" customHeight="1">
      <c r="A1463" s="5" t="inlineStr">
        <is>
          <t>Hn An &lt;aeaxn.22@gmail.com&gt;</t>
        </is>
      </c>
      <c r="B1463" s="6" t="inlineStr">
        <is>
          <t>aeaxn.22@gmail.com</t>
        </is>
      </c>
      <c r="C1463" s="5">
        <f>?utf-8?B?2KfZhNix2KzYp9ihINmF2LPYrSDYp9mE2KfYs9in2KbZhw==?=</f>
        <v/>
      </c>
      <c r="D1463" s="5" t="inlineStr">
        <is>
          <t>Hello! How can we help you?  Report وزباله و بنت تسال و تشرد : 65691000   ‫أُرسلت من الـ iPhone‬</t>
        </is>
      </c>
      <c r="E1463" s="7" t="inlineStr">
        <is>
          <t>65691000</t>
        </is>
      </c>
    </row>
    <row r="1464" ht="18" customHeight="1">
      <c r="A1464" s="2" t="inlineStr">
        <is>
          <t>Hn An &lt;aeaxn.22@gmail.com&gt;</t>
        </is>
      </c>
      <c r="B1464" s="3" t="inlineStr">
        <is>
          <t>aeaxn.22@gmail.com</t>
        </is>
      </c>
      <c r="C1464" s="2">
        <f>?utf-8?B?2KfZhNix2KzYp9ihINmF2LPYrSDYp9mE2KfYs9in2KbZhw==?=</f>
        <v/>
      </c>
      <c r="D1464" s="2" t="inlineStr">
        <is>
          <t>Hello! How can we help you?  Report وزباله و بنت تسال و تشرد : 65691000   ‫أُرسلت من الـ iPhone‬</t>
        </is>
      </c>
      <c r="E1464" s="4" t="inlineStr">
        <is>
          <t>65691000</t>
        </is>
      </c>
    </row>
    <row r="1465" ht="18" customHeight="1">
      <c r="A1465" s="5" t="inlineStr">
        <is>
          <t>Hn An &lt;aeaxn.22@gmail.com&gt;</t>
        </is>
      </c>
      <c r="B1465" s="6" t="inlineStr">
        <is>
          <t>aeaxn.22@gmail.com</t>
        </is>
      </c>
      <c r="C1465" s="5">
        <f>?utf-8?B?2KfZhNix2KzYp9ihINmF2LPYrSDYp9mE2KfYs9in2KbZhw==?=</f>
        <v/>
      </c>
      <c r="D1465" s="5" t="inlineStr">
        <is>
          <t>Hello! How can we help you?  Report وزباله و بنت تسال و تشرد : 65691000   ‫أُرسلت من الـ iPhone‬</t>
        </is>
      </c>
      <c r="E1465" s="7" t="inlineStr">
        <is>
          <t>65691000</t>
        </is>
      </c>
    </row>
    <row r="1466" ht="18" customHeight="1">
      <c r="A1466" s="2" t="inlineStr">
        <is>
          <t>Hn An &lt;aeaxn.22@gmail.com&gt;</t>
        </is>
      </c>
      <c r="B1466" s="3" t="inlineStr">
        <is>
          <t>aeaxn.22@gmail.com</t>
        </is>
      </c>
      <c r="C1466" s="2">
        <f>?utf-8?B?2KfZhNix2KzYp9ihINmF2LPYrSDYp9mE2KfYs9in2KbZhw==?=</f>
        <v/>
      </c>
      <c r="D1466" s="2" t="inlineStr">
        <is>
          <t>Hello! How can we help you?  Report وزباله و بنت تسال و تشرد : 65691000   ‫أُرسلت من الـ iPhone‬</t>
        </is>
      </c>
      <c r="E1466" s="4" t="inlineStr">
        <is>
          <t>65691000</t>
        </is>
      </c>
    </row>
    <row r="1467" ht="18" customHeight="1">
      <c r="A1467" s="5" t="inlineStr">
        <is>
          <t>Hn An &lt;aeaxn.22@gmail.com&gt;</t>
        </is>
      </c>
      <c r="B1467" s="6" t="inlineStr">
        <is>
          <t>aeaxn.22@gmail.com</t>
        </is>
      </c>
      <c r="C1467" s="5">
        <f>?utf-8?B?2KfZhNix2KzYp9ihINmF2LPYrSDYp9mE2KfYs9in2KbZhw==?=</f>
        <v/>
      </c>
      <c r="D1467" s="5" t="inlineStr">
        <is>
          <t>Hello! How can we help you?  Report وزباله و بنت تسال و تشرد : 65691000   ‫أُرسلت من الـ iPhone‬</t>
        </is>
      </c>
      <c r="E1467" s="7" t="inlineStr">
        <is>
          <t>65691000</t>
        </is>
      </c>
    </row>
    <row r="1468" ht="18" customHeight="1">
      <c r="A1468" s="2" t="inlineStr">
        <is>
          <t>Hn An &lt;aeaxn.22@gmail.com&gt;</t>
        </is>
      </c>
      <c r="B1468" s="3" t="inlineStr">
        <is>
          <t>aeaxn.22@gmail.com</t>
        </is>
      </c>
      <c r="C1468" s="2">
        <f>?utf-8?B?2KfZhNix2KzYp9ihINmF2LPYrSDYp9mE2KfYs9in2KbZhw==?=</f>
        <v/>
      </c>
      <c r="D1468" s="2" t="inlineStr">
        <is>
          <t>Hello! How can we help you?  Report وزباله و بنت تسال و تشرد : 65691000   ‫أُرسلت من الـ iPhone‬</t>
        </is>
      </c>
      <c r="E1468" s="4" t="inlineStr">
        <is>
          <t>65691000</t>
        </is>
      </c>
    </row>
    <row r="1469" ht="18" customHeight="1">
      <c r="A1469" s="5" t="inlineStr">
        <is>
          <t>Hn An &lt;aeaxn.22@gmail.com&gt;</t>
        </is>
      </c>
      <c r="B1469" s="6" t="inlineStr">
        <is>
          <t>aeaxn.22@gmail.com</t>
        </is>
      </c>
      <c r="C1469" s="5">
        <f>?utf-8?B?2KfZhNix2KzYp9ihINmF2LPYrSDYp9mE2KfYs9in2KbZhw==?=</f>
        <v/>
      </c>
      <c r="D1469" s="5" t="inlineStr">
        <is>
          <t>Hello! How can we help you?  Report وزباله و بنت تسال و تشرد : 65691000   ‫أُرسلت من الـ iPhone‬</t>
        </is>
      </c>
      <c r="E1469" s="7" t="inlineStr">
        <is>
          <t>65691000</t>
        </is>
      </c>
    </row>
    <row r="1470" ht="18" customHeight="1">
      <c r="A1470" s="2" t="inlineStr">
        <is>
          <t>Hn An &lt;aeaxn.22@gmail.com&gt;</t>
        </is>
      </c>
      <c r="B1470" s="3" t="inlineStr">
        <is>
          <t>aeaxn.22@gmail.com</t>
        </is>
      </c>
      <c r="C1470" s="2">
        <f>?utf-8?B?2KfZhNix2KzYp9ihINmF2LPYrSDYp9mE2KfYs9in2KbZhw==?=</f>
        <v/>
      </c>
      <c r="D1470" s="2" t="inlineStr">
        <is>
          <t>Hello! How can we help you?  Report وزباله و بنت تسال و تشرد : 65691000   ‫أُرسلت من الـ iPhone‬</t>
        </is>
      </c>
      <c r="E1470" s="4" t="inlineStr">
        <is>
          <t>65691000</t>
        </is>
      </c>
    </row>
    <row r="1471" ht="18" customHeight="1">
      <c r="A1471" s="5" t="inlineStr">
        <is>
          <t>Hn An &lt;aeaxn.22@gmail.com&gt;</t>
        </is>
      </c>
      <c r="B1471" s="6" t="inlineStr">
        <is>
          <t>aeaxn.22@gmail.com</t>
        </is>
      </c>
      <c r="C1471" s="5">
        <f>?utf-8?B?2KfZhNix2KzYp9ihINmF2LPYrSDYp9mE2KfYs9in2KbZhw==?=</f>
        <v/>
      </c>
      <c r="D1471" s="5" t="inlineStr">
        <is>
          <t>Hello! How can we help you?  Report وزباله و بنت تسال و تشرد : 65691000   ‫أُرسلت من الـ iPhone‬</t>
        </is>
      </c>
      <c r="E1471" s="7" t="inlineStr">
        <is>
          <t>65691000</t>
        </is>
      </c>
    </row>
    <row r="1472" ht="18" customHeight="1">
      <c r="A1472" s="2" t="inlineStr">
        <is>
          <t>Hn An &lt;aeaxn.22@gmail.com&gt;</t>
        </is>
      </c>
      <c r="B1472" s="3" t="inlineStr">
        <is>
          <t>aeaxn.22@gmail.com</t>
        </is>
      </c>
      <c r="C1472" s="2">
        <f>?utf-8?B?2KfZhNix2KzYp9ihINmF2LPYrSDYp9mE2KfYs9in2KbZhw==?=</f>
        <v/>
      </c>
      <c r="D1472" s="2" t="inlineStr">
        <is>
          <t>Hello! How can we help you?  Report وزباله و بنت تسال و تشرد : 65691000   ‫أُرسلت من الـ iPhone‬</t>
        </is>
      </c>
      <c r="E1472" s="4" t="inlineStr">
        <is>
          <t>65691000</t>
        </is>
      </c>
    </row>
    <row r="1473" ht="18" customHeight="1">
      <c r="A1473" s="5" t="inlineStr">
        <is>
          <t>Hn An &lt;aeaxn.22@gmail.com&gt;</t>
        </is>
      </c>
      <c r="B1473" s="6" t="inlineStr">
        <is>
          <t>aeaxn.22@gmail.com</t>
        </is>
      </c>
      <c r="C1473" s="5">
        <f>?utf-8?B?2KfZhNix2KzYp9ihINmF2LPYrSDYp9mE2KfYs9in2KbZhw==?=</f>
        <v/>
      </c>
      <c r="D1473" s="5" t="inlineStr">
        <is>
          <t>Hello! How can we help you?  Report وزباله و بنت تسال و تشرد : 65691000   ‫أُرسلت من الـ iPhone‬</t>
        </is>
      </c>
      <c r="E1473" s="7" t="inlineStr">
        <is>
          <t>65691000</t>
        </is>
      </c>
    </row>
    <row r="1474" ht="18" customHeight="1">
      <c r="A1474" s="2" t="inlineStr">
        <is>
          <t>Hn An &lt;aeaxn.22@gmail.com&gt;</t>
        </is>
      </c>
      <c r="B1474" s="3" t="inlineStr">
        <is>
          <t>aeaxn.22@gmail.com</t>
        </is>
      </c>
      <c r="C1474" s="2">
        <f>?utf-8?B?2KfZhNix2KzYp9ihINmF2LPYrSDYp9mE2KfYs9in2KbZhw==?=</f>
        <v/>
      </c>
      <c r="D1474" s="2" t="inlineStr">
        <is>
          <t>Hello! How can we help you?  Report وزباله و بنت تسال و تشرد : 65691000   ‫أُرسلت من الـ iPhone‬</t>
        </is>
      </c>
      <c r="E1474" s="4" t="inlineStr">
        <is>
          <t>65691000</t>
        </is>
      </c>
    </row>
    <row r="1475" ht="18" customHeight="1">
      <c r="A1475" s="5" t="inlineStr">
        <is>
          <t>Hn An &lt;aeaxn.22@gmail.com&gt;</t>
        </is>
      </c>
      <c r="B1475" s="6" t="inlineStr">
        <is>
          <t>aeaxn.22@gmail.com</t>
        </is>
      </c>
      <c r="C1475" s="5">
        <f>?utf-8?B?2KfZhNix2KzYp9ihINmF2LPYrSDYp9mE2KfYs9in2KbZhw==?=</f>
        <v/>
      </c>
      <c r="D1475" s="5" t="inlineStr">
        <is>
          <t>Hello! How can we help you?  Report وزباله و بنت تسال و تشرد : 65691000   ‫أُرسلت من الـ iPhone‬</t>
        </is>
      </c>
      <c r="E1475" s="7" t="inlineStr">
        <is>
          <t>65691000</t>
        </is>
      </c>
    </row>
    <row r="1476" ht="18" customHeight="1">
      <c r="A1476" s="2" t="inlineStr">
        <is>
          <t>Hn An &lt;aeaxn.22@gmail.com&gt;</t>
        </is>
      </c>
      <c r="B1476" s="3" t="inlineStr">
        <is>
          <t>aeaxn.22@gmail.com</t>
        </is>
      </c>
      <c r="C1476" s="2">
        <f>?utf-8?B?2KfZhNix2KzYp9ihINmF2LPYrSDYp9mE2KfYs9in2KbZhw==?=</f>
        <v/>
      </c>
      <c r="D1476" s="2" t="inlineStr">
        <is>
          <t>Hello! How can we help you?  Report وزباله و بنت تسال و تشرد : 65691000   ‫أُرسلت من الـ iPhone‬</t>
        </is>
      </c>
      <c r="E1476" s="4" t="inlineStr">
        <is>
          <t>65691000</t>
        </is>
      </c>
    </row>
    <row r="1477" ht="18" customHeight="1">
      <c r="A1477" s="5" t="inlineStr">
        <is>
          <t>Hn An &lt;aeaxn.22@gmail.com&gt;</t>
        </is>
      </c>
      <c r="B1477" s="6" t="inlineStr">
        <is>
          <t>aeaxn.22@gmail.com</t>
        </is>
      </c>
      <c r="C1477" s="5">
        <f>?utf-8?B?2KfZhNix2KzYp9ihINmF2LPYrSDYp9mE2KfYs9in2KbZhw==?=</f>
        <v/>
      </c>
      <c r="D1477" s="5" t="inlineStr">
        <is>
          <t>Hello! How can we help you?  Report وزباله و بنت تسال و تشرد : 65691000   ‫أُرسلت من الـ iPhone‬</t>
        </is>
      </c>
      <c r="E1477" s="7" t="inlineStr">
        <is>
          <t>65691000</t>
        </is>
      </c>
    </row>
    <row r="1478" ht="18" customHeight="1">
      <c r="A1478" s="2" t="inlineStr">
        <is>
          <t>Hn An &lt;aeaxn.22@gmail.com&gt;</t>
        </is>
      </c>
      <c r="B1478" s="3" t="inlineStr">
        <is>
          <t>aeaxn.22@gmail.com</t>
        </is>
      </c>
      <c r="C1478" s="2">
        <f>?utf-8?B?2KfZhNix2KzYp9ihINmF2LPYrSDYp9mE2KfYs9in2KbZhw==?=</f>
        <v/>
      </c>
      <c r="D1478" s="2" t="inlineStr">
        <is>
          <t>Hello! How can we help you?  Report وزباله و بنت تسال و تشرد : 65691000   ‫أُرسلت من الـ iPhone‬</t>
        </is>
      </c>
      <c r="E1478" s="4" t="inlineStr">
        <is>
          <t>65691000</t>
        </is>
      </c>
    </row>
    <row r="1479" ht="18" customHeight="1">
      <c r="A1479" s="5" t="inlineStr">
        <is>
          <t>Hn An &lt;aeaxn.22@gmail.com&gt;</t>
        </is>
      </c>
      <c r="B1479" s="6" t="inlineStr">
        <is>
          <t>aeaxn.22@gmail.com</t>
        </is>
      </c>
      <c r="C1479" s="5">
        <f>?utf-8?B?2KfZhNix2KzYp9ihINmF2LPYrSDYp9mE2KfYs9in2KbZhw==?=</f>
        <v/>
      </c>
      <c r="D1479" s="5" t="inlineStr">
        <is>
          <t>Hello! How can we help you?  Report وزباله و بنت تسال و تشرد : 65691000   ‫أُرسلت من الـ iPhone‬</t>
        </is>
      </c>
      <c r="E1479" s="7" t="inlineStr">
        <is>
          <t>65691000</t>
        </is>
      </c>
    </row>
    <row r="1480" ht="18" customHeight="1">
      <c r="A1480" s="2" t="inlineStr">
        <is>
          <t>Hn An &lt;aeaxn.22@gmail.com&gt;</t>
        </is>
      </c>
      <c r="B1480" s="3" t="inlineStr">
        <is>
          <t>aeaxn.22@gmail.com</t>
        </is>
      </c>
      <c r="C1480" s="2">
        <f>?utf-8?B?2KfZhNix2KzYp9ihINmF2LPYrSDYp9mE2KfYs9in2KbZhw==?=</f>
        <v/>
      </c>
      <c r="D1480" s="2" t="inlineStr">
        <is>
          <t>Hello! How can we help you?  Report وزباله و بنت تسال و تشرد : 65691000   ‫أُرسلت من الـ iPhone‬</t>
        </is>
      </c>
      <c r="E1480" s="4" t="inlineStr">
        <is>
          <t>65691000</t>
        </is>
      </c>
    </row>
    <row r="1481" ht="18" customHeight="1">
      <c r="A1481" s="5" t="inlineStr">
        <is>
          <t>Hn An &lt;aeaxn.22@gmail.com&gt;</t>
        </is>
      </c>
      <c r="B1481" s="6" t="inlineStr">
        <is>
          <t>aeaxn.22@gmail.com</t>
        </is>
      </c>
      <c r="C1481" s="5">
        <f>?utf-8?B?2KfZhNix2KzYp9ihINmF2LPYrSDYp9mE2KfYs9in2KbZhw==?=</f>
        <v/>
      </c>
      <c r="D1481" s="5" t="inlineStr">
        <is>
          <t>Hello! How can we help you?  Report وزباله و بنت تسال و تشرد : 65691000   ‫أُرسلت من الـ iPhone‬</t>
        </is>
      </c>
      <c r="E1481" s="7" t="inlineStr">
        <is>
          <t>65691000</t>
        </is>
      </c>
    </row>
    <row r="1482" ht="18" customHeight="1">
      <c r="A1482" s="2" t="inlineStr">
        <is>
          <t>Hn An &lt;aeaxn.22@gmail.com&gt;</t>
        </is>
      </c>
      <c r="B1482" s="3" t="inlineStr">
        <is>
          <t>aeaxn.22@gmail.com</t>
        </is>
      </c>
      <c r="C1482" s="2">
        <f>?utf-8?B?2KfZhNix2KzYp9ihINmF2LPYrSDYp9mE2KfYs9in2KbZhw==?=</f>
        <v/>
      </c>
      <c r="D1482" s="2" t="inlineStr">
        <is>
          <t>Hello! How can we help you?  Report وزباله و بنت تسال و تشرد : 65691000   ‫أُرسلت من الـ iPhone‬</t>
        </is>
      </c>
      <c r="E1482" s="4" t="inlineStr">
        <is>
          <t>65691000</t>
        </is>
      </c>
    </row>
    <row r="1483" ht="18" customHeight="1">
      <c r="A1483" s="5" t="inlineStr">
        <is>
          <t>Hn An &lt;aeaxn.22@gmail.com&gt;</t>
        </is>
      </c>
      <c r="B1483" s="6" t="inlineStr">
        <is>
          <t>aeaxn.22@gmail.com</t>
        </is>
      </c>
      <c r="C1483" s="5">
        <f>?utf-8?B?2KfZhNix2KzYp9ihINmF2LPYrSDYp9mE2KfYs9in2KbZhw==?=</f>
        <v/>
      </c>
      <c r="D1483" s="5" t="inlineStr">
        <is>
          <t>Hello! How can we help you?  Report وزباله و بنت تسال و تشرد : 65691000   ‫أُرسلت من الـ iPhone‬</t>
        </is>
      </c>
      <c r="E1483" s="7" t="inlineStr">
        <is>
          <t>65691000</t>
        </is>
      </c>
    </row>
    <row r="1484" ht="18" customHeight="1">
      <c r="A1484" s="2" t="inlineStr">
        <is>
          <t>Hn An &lt;aeaxn.22@gmail.com&gt;</t>
        </is>
      </c>
      <c r="B1484" s="3" t="inlineStr">
        <is>
          <t>aeaxn.22@gmail.com</t>
        </is>
      </c>
      <c r="C1484" s="2">
        <f>?utf-8?B?2KfZhNix2KzYp9ihINmF2LPYrSDYp9mE2KfYs9in2KbZhw==?=</f>
        <v/>
      </c>
      <c r="D1484" s="2" t="inlineStr">
        <is>
          <t>Hello! How can we help you?  Report وزباله و بنت تسال و تشرد : 65691000   ‫أُرسلت من الـ iPhone‬</t>
        </is>
      </c>
      <c r="E1484" s="4" t="inlineStr">
        <is>
          <t>65691000</t>
        </is>
      </c>
    </row>
    <row r="1485" ht="18" customHeight="1">
      <c r="A1485" s="5" t="inlineStr">
        <is>
          <t>Hn An &lt;aeaxn.22@gmail.com&gt;</t>
        </is>
      </c>
      <c r="B1485" s="6" t="inlineStr">
        <is>
          <t>aeaxn.22@gmail.com</t>
        </is>
      </c>
      <c r="C1485" s="5">
        <f>?utf-8?B?2KfZhNix2KzYp9ihINmF2LPYrSDYp9mE2KfYs9in2KbZhw==?=</f>
        <v/>
      </c>
      <c r="D1485" s="5" t="inlineStr">
        <is>
          <t>Hello! How can we help you?  Report وزباله و بنت تسال و تشرد : 65691000   ‫أُرسلت من الـ iPhone‬</t>
        </is>
      </c>
      <c r="E1485" s="7" t="inlineStr">
        <is>
          <t>65691000</t>
        </is>
      </c>
    </row>
    <row r="1486" ht="18" customHeight="1">
      <c r="A1486" s="2" t="inlineStr">
        <is>
          <t>Hn An &lt;aeaxn.22@gmail.com&gt;</t>
        </is>
      </c>
      <c r="B1486" s="3" t="inlineStr">
        <is>
          <t>aeaxn.22@gmail.com</t>
        </is>
      </c>
      <c r="C1486" s="2">
        <f>?utf-8?B?2KfZhNix2KzYp9ihINmF2LPYrSDYp9mE2KfYs9in2KbZhw==?=</f>
        <v/>
      </c>
      <c r="D1486" s="2" t="inlineStr">
        <is>
          <t>Hello! How can we help you?  Report وزباله و بنت تسال و تشرد : 65691000   ‫أُرسلت من الـ iPhone‬</t>
        </is>
      </c>
      <c r="E1486" s="4" t="inlineStr">
        <is>
          <t>65691000</t>
        </is>
      </c>
    </row>
    <row r="1487" ht="18" customHeight="1">
      <c r="A1487" s="5" t="inlineStr">
        <is>
          <t>Hn An &lt;aeaxn.22@gmail.com&gt;</t>
        </is>
      </c>
      <c r="B1487" s="6" t="inlineStr">
        <is>
          <t>aeaxn.22@gmail.com</t>
        </is>
      </c>
      <c r="C1487" s="5">
        <f>?utf-8?B?2KfZhNix2KzYp9ihINmF2LPYrSDYp9mE2KfYs9in2KbZhw==?=</f>
        <v/>
      </c>
      <c r="D1487" s="5" t="inlineStr">
        <is>
          <t>Hello! How can we help you?  Report وزباله و بنت تسال و تشرد : 65691000   ‫أُرسلت من الـ iPhone‬</t>
        </is>
      </c>
      <c r="E1487" s="7" t="inlineStr">
        <is>
          <t>65691000</t>
        </is>
      </c>
    </row>
    <row r="1488" ht="18" customHeight="1">
      <c r="A1488" s="2" t="inlineStr">
        <is>
          <t>Hn An &lt;aeaxn.22@gmail.com&gt;</t>
        </is>
      </c>
      <c r="B1488" s="3" t="inlineStr">
        <is>
          <t>aeaxn.22@gmail.com</t>
        </is>
      </c>
      <c r="C1488" s="2">
        <f>?utf-8?B?2KfZhNix2KzYp9ihINmF2LPYrSDYp9mE2KfYs9in2KbZhw==?=</f>
        <v/>
      </c>
      <c r="D1488" s="2" t="inlineStr">
        <is>
          <t>Hello! How can we help you?  Report وزباله و بنت تسال و تشرد : 65691000   ‫أُرسلت من الـ iPhone‬</t>
        </is>
      </c>
      <c r="E1488" s="4" t="inlineStr">
        <is>
          <t>65691000</t>
        </is>
      </c>
    </row>
    <row r="1489" ht="18" customHeight="1">
      <c r="A1489" s="5" t="inlineStr">
        <is>
          <t>Hn An &lt;aeaxn.22@gmail.com&gt;</t>
        </is>
      </c>
      <c r="B1489" s="6" t="inlineStr">
        <is>
          <t>aeaxn.22@gmail.com</t>
        </is>
      </c>
      <c r="C1489" s="5">
        <f>?utf-8?B?2KfZhNix2KzYp9ihINmF2LPYrSDYp9mE2KfYs9in2KbZhw==?=</f>
        <v/>
      </c>
      <c r="D1489" s="5" t="inlineStr">
        <is>
          <t>Hello! How can we help you?  Report وزباله و بنت تسال و تشرد : 65691000   ‫أُرسلت من الـ iPhone‬</t>
        </is>
      </c>
      <c r="E1489" s="7" t="inlineStr">
        <is>
          <t>65691000</t>
        </is>
      </c>
    </row>
    <row r="1490" ht="18" customHeight="1">
      <c r="A1490" s="2" t="inlineStr">
        <is>
          <t>Hn An &lt;aeaxn.22@gmail.com&gt;</t>
        </is>
      </c>
      <c r="B1490" s="3" t="inlineStr">
        <is>
          <t>aeaxn.22@gmail.com</t>
        </is>
      </c>
      <c r="C1490" s="2">
        <f>?utf-8?B?2KfZhNix2KzYp9ihINmF2LPYrSDYp9mE2KfYs9in2KbZhw==?=</f>
        <v/>
      </c>
      <c r="D1490" s="2" t="inlineStr">
        <is>
          <t>Hello! How can we help you?  Report وزباله و بنت تسال و تشرد : 65691000   ‫أُرسلت من الـ iPhone‬</t>
        </is>
      </c>
      <c r="E1490" s="4" t="inlineStr">
        <is>
          <t>65691000</t>
        </is>
      </c>
    </row>
    <row r="1491" ht="18" customHeight="1">
      <c r="A1491" s="5" t="inlineStr">
        <is>
          <t>Hn An &lt;aeaxn.22@gmail.com&gt;</t>
        </is>
      </c>
      <c r="B1491" s="6" t="inlineStr">
        <is>
          <t>aeaxn.22@gmail.com</t>
        </is>
      </c>
      <c r="C1491" s="5">
        <f>?utf-8?B?2KfZhNix2KzYp9ihINmF2LPYrSDYp9mE2KfYs9in2KbZhw==?=</f>
        <v/>
      </c>
      <c r="D1491" s="5" t="inlineStr">
        <is>
          <t>Hello! How can we help you?  Report وزباله و بنت تسال و تشرد : 65691000   ‫أُرسلت من الـ iPhone‬</t>
        </is>
      </c>
      <c r="E1491" s="7" t="inlineStr">
        <is>
          <t>65691000</t>
        </is>
      </c>
    </row>
    <row r="1492" ht="18" customHeight="1">
      <c r="A1492" s="2" t="inlineStr">
        <is>
          <t>Hn An &lt;aeaxn.22@gmail.com&gt;</t>
        </is>
      </c>
      <c r="B1492" s="3" t="inlineStr">
        <is>
          <t>aeaxn.22@gmail.com</t>
        </is>
      </c>
      <c r="C1492" s="2">
        <f>?utf-8?B?2KfZhNix2KzYp9ihINmF2LPYrSDYp9mE2KfYs9in2KbZhw==?=</f>
        <v/>
      </c>
      <c r="D1492" s="2" t="inlineStr">
        <is>
          <t>Hello! How can we help you?  Report وزباله و بنت تسال و تشرد : 65691000   ‫أُرسلت من الـ iPhone‬</t>
        </is>
      </c>
      <c r="E1492" s="4" t="inlineStr">
        <is>
          <t>65691000</t>
        </is>
      </c>
    </row>
    <row r="1493" ht="18" customHeight="1">
      <c r="A1493" s="5" t="inlineStr">
        <is>
          <t>Hn An &lt;aeaxn.22@gmail.com&gt;</t>
        </is>
      </c>
      <c r="B1493" s="6" t="inlineStr">
        <is>
          <t>aeaxn.22@gmail.com</t>
        </is>
      </c>
      <c r="C1493" s="5">
        <f>?utf-8?B?2KfZhNix2KzYp9ihINmF2LPYrSDYp9mE2KfYs9in2KbZhw==?=</f>
        <v/>
      </c>
      <c r="D1493" s="5" t="inlineStr">
        <is>
          <t>Hello! How can we help you?  Report وزباله و بنت تسال و تشرد : 65691000   ‫أُرسلت من الـ iPhone‬</t>
        </is>
      </c>
      <c r="E1493" s="7" t="inlineStr">
        <is>
          <t>65691000</t>
        </is>
      </c>
    </row>
    <row r="1494" ht="18" customHeight="1">
      <c r="A1494" s="2" t="inlineStr">
        <is>
          <t>Hn An &lt;aeaxn.22@gmail.com&gt;</t>
        </is>
      </c>
      <c r="B1494" s="3" t="inlineStr">
        <is>
          <t>aeaxn.22@gmail.com</t>
        </is>
      </c>
      <c r="C1494" s="2">
        <f>?utf-8?B?2KfZhNix2KzYp9ihINmF2LPYrSDYp9mE2KfYs9in2KbZhw==?=</f>
        <v/>
      </c>
      <c r="D1494" s="2" t="inlineStr">
        <is>
          <t>Hello! How can we help you?  Report وزباله و بنت تسال و تشرد : 65691000   ‫أُرسلت من الـ iPhone‬</t>
        </is>
      </c>
      <c r="E1494" s="4" t="inlineStr">
        <is>
          <t>65691000</t>
        </is>
      </c>
    </row>
    <row r="1495" ht="18" customHeight="1">
      <c r="A1495" s="5" t="inlineStr">
        <is>
          <t>Hn An &lt;aeaxn.22@gmail.com&gt;</t>
        </is>
      </c>
      <c r="B1495" s="6" t="inlineStr">
        <is>
          <t>aeaxn.22@gmail.com</t>
        </is>
      </c>
      <c r="C1495" s="5">
        <f>?utf-8?B?2KfZhNix2KzYp9ihINmF2LPYrSDYp9mE2KfYs9in2KbZhw==?=</f>
        <v/>
      </c>
      <c r="D1495" s="5" t="inlineStr">
        <is>
          <t>Hello! How can we help you?  Report وزباله و بنت تسال و تشرد : 65691000   ‫أُرسلت من الـ iPhone‬</t>
        </is>
      </c>
      <c r="E1495" s="7" t="inlineStr">
        <is>
          <t>65691000</t>
        </is>
      </c>
    </row>
    <row r="1496" ht="18" customHeight="1">
      <c r="A1496" s="2" t="inlineStr">
        <is>
          <t>Hn An &lt;aeaxn.22@gmail.com&gt;</t>
        </is>
      </c>
      <c r="B1496" s="3" t="inlineStr">
        <is>
          <t>aeaxn.22@gmail.com</t>
        </is>
      </c>
      <c r="C1496" s="2">
        <f>?utf-8?B?2KfZhNix2KzYp9ihINmF2LPYrSDYp9mE2KfYs9in2KbZhw==?=</f>
        <v/>
      </c>
      <c r="D1496" s="2" t="inlineStr">
        <is>
          <t>Hello! How can we help you?  Report وزباله و بنت تسال و تشرد : 65691000   ‫أُرسلت من الـ iPhone‬</t>
        </is>
      </c>
      <c r="E1496" s="4" t="inlineStr">
        <is>
          <t>65691000</t>
        </is>
      </c>
    </row>
    <row r="1497" ht="18" customHeight="1">
      <c r="A1497" s="5" t="inlineStr">
        <is>
          <t>Hn An &lt;aeaxn.22@gmail.com&gt;</t>
        </is>
      </c>
      <c r="B1497" s="6" t="inlineStr">
        <is>
          <t>aeaxn.22@gmail.com</t>
        </is>
      </c>
      <c r="C1497" s="5">
        <f>?utf-8?B?2KfZhNix2KzYp9ihINmF2LPYrSDYp9mE2KfYs9in2KbZhw==?=</f>
        <v/>
      </c>
      <c r="D1497" s="5" t="inlineStr">
        <is>
          <t>Hello! How can we help you?  Report وزباله و بنت تسال و تشرد : 65691000   ‫أُرسلت من الـ iPhone‬</t>
        </is>
      </c>
      <c r="E1497" s="7" t="inlineStr">
        <is>
          <t>65691000</t>
        </is>
      </c>
    </row>
    <row r="1498" ht="18" customHeight="1">
      <c r="A1498" s="2" t="inlineStr">
        <is>
          <t>Hn An &lt;aeaxn.22@gmail.com&gt;</t>
        </is>
      </c>
      <c r="B1498" s="3" t="inlineStr">
        <is>
          <t>aeaxn.22@gmail.com</t>
        </is>
      </c>
      <c r="C1498" s="2">
        <f>?utf-8?B?2KfZhNix2KzYp9ihINmF2LPYrSDYp9mE2KfYs9in2KbZhw==?=</f>
        <v/>
      </c>
      <c r="D1498" s="2" t="inlineStr">
        <is>
          <t>Hello! How can we help you?  Report وزباله و بنت تسال و تشرد : 65691000   ‫أُرسلت من الـ iPhone‬</t>
        </is>
      </c>
      <c r="E1498" s="4" t="inlineStr">
        <is>
          <t>65691000</t>
        </is>
      </c>
    </row>
    <row r="1499" ht="18" customHeight="1">
      <c r="A1499" s="5" t="inlineStr">
        <is>
          <t>Hn An &lt;aeaxn.22@gmail.com&gt;</t>
        </is>
      </c>
      <c r="B1499" s="6" t="inlineStr">
        <is>
          <t>aeaxn.22@gmail.com</t>
        </is>
      </c>
      <c r="C1499" s="5">
        <f>?utf-8?B?2KfZhNix2KzYp9ihINmF2LPYrSDYp9mE2KfYs9in2KbZhw==?=</f>
        <v/>
      </c>
      <c r="D1499" s="5" t="inlineStr">
        <is>
          <t>Hello! How can we help you?  Report وزباله و بنت تسال و تشرد : 65691000   ‫أُرسلت من الـ iPhone‬</t>
        </is>
      </c>
      <c r="E1499" s="7" t="inlineStr">
        <is>
          <t>65691000</t>
        </is>
      </c>
    </row>
    <row r="1500" ht="18" customHeight="1">
      <c r="A1500" s="2" t="inlineStr">
        <is>
          <t>Hn An &lt;aeaxn.22@gmail.com&gt;</t>
        </is>
      </c>
      <c r="B1500" s="3" t="inlineStr">
        <is>
          <t>aeaxn.22@gmail.com</t>
        </is>
      </c>
      <c r="C1500" s="2">
        <f>?utf-8?B?2KfZhNix2KzYp9ihINmF2LPYrSDYp9mE2KfYs9in2KbZhw==?=</f>
        <v/>
      </c>
      <c r="D1500" s="2" t="inlineStr">
        <is>
          <t>Hello! How can we help you?  Report وزباله و بنت تسال و تشرد : 65691000   ‫أُرسلت من الـ iPhone‬</t>
        </is>
      </c>
      <c r="E1500" s="4" t="inlineStr">
        <is>
          <t>65691000</t>
        </is>
      </c>
    </row>
    <row r="1501" ht="18" customHeight="1">
      <c r="A1501" s="5" t="inlineStr">
        <is>
          <t>Hn An &lt;aeaxn.22@gmail.com&gt;</t>
        </is>
      </c>
      <c r="B1501" s="6" t="inlineStr">
        <is>
          <t>aeaxn.22@gmail.com</t>
        </is>
      </c>
      <c r="C1501" s="5">
        <f>?utf-8?B?2KfZhNix2KzYp9ihINmF2LPYrSDYp9mE2KfYs9in2KbZhw==?=</f>
        <v/>
      </c>
      <c r="D1501" s="5" t="inlineStr">
        <is>
          <t>Hello! How can we help you?  Report وزباله و بنت تسال و تشرد : 65691000   ‫أُرسلت من الـ iPhone‬</t>
        </is>
      </c>
      <c r="E1501" s="7" t="inlineStr">
        <is>
          <t>65691000</t>
        </is>
      </c>
    </row>
    <row r="1502" ht="18" customHeight="1">
      <c r="A1502" s="2" t="inlineStr">
        <is>
          <t>Hn An &lt;aeaxn.22@gmail.com&gt;</t>
        </is>
      </c>
      <c r="B1502" s="3" t="inlineStr">
        <is>
          <t>aeaxn.22@gmail.com</t>
        </is>
      </c>
      <c r="C1502" s="2">
        <f>?utf-8?B?2KfZhNix2KzYp9ihINmF2LPYrSDYp9mE2KfYs9in2KbZhw==?=</f>
        <v/>
      </c>
      <c r="D1502" s="2" t="inlineStr">
        <is>
          <t>Hello! How can we help you?  Report وزباله و بنت تسال و تشرد : 65691000   ‫أُرسلت من الـ iPhone‬</t>
        </is>
      </c>
      <c r="E1502" s="4" t="inlineStr">
        <is>
          <t>65691000</t>
        </is>
      </c>
    </row>
    <row r="1503" ht="18" customHeight="1">
      <c r="A1503" s="5" t="inlineStr">
        <is>
          <t>Hn An &lt;aeaxn.22@gmail.com&gt;</t>
        </is>
      </c>
      <c r="B1503" s="6" t="inlineStr">
        <is>
          <t>aeaxn.22@gmail.com</t>
        </is>
      </c>
      <c r="C1503" s="5">
        <f>?utf-8?B?2KfZhNix2KzYp9ihINmF2LPYrSDYp9mE2KfYs9in2KbZhw==?=</f>
        <v/>
      </c>
      <c r="D1503" s="5" t="inlineStr">
        <is>
          <t>Hello! How can we help you?  Report وزباله و بنت تسال و تشرد : 65691000   ‫أُرسلت من الـ iPhone‬</t>
        </is>
      </c>
      <c r="E1503" s="7" t="inlineStr">
        <is>
          <t>65691000</t>
        </is>
      </c>
    </row>
    <row r="1504" ht="18" customHeight="1">
      <c r="A1504" s="2" t="inlineStr">
        <is>
          <t>Hn An &lt;aeaxn.22@gmail.com&gt;</t>
        </is>
      </c>
      <c r="B1504" s="3" t="inlineStr">
        <is>
          <t>aeaxn.22@gmail.com</t>
        </is>
      </c>
      <c r="C1504" s="2">
        <f>?utf-8?B?2KfZhNix2KzYp9ihINmF2LPYrSDYp9mE2KfYs9in2KbZhw==?=</f>
        <v/>
      </c>
      <c r="D1504" s="2" t="inlineStr">
        <is>
          <t>Hello! How can we help you?  Report وزباله و بنت تسال و تشرد : 65691000   ‫أُرسلت من الـ iPhone‬</t>
        </is>
      </c>
      <c r="E1504" s="4" t="inlineStr">
        <is>
          <t>65691000</t>
        </is>
      </c>
    </row>
    <row r="1505" ht="18" customHeight="1">
      <c r="A1505" s="5" t="inlineStr">
        <is>
          <t>Hn An &lt;aeaxn.22@gmail.com&gt;</t>
        </is>
      </c>
      <c r="B1505" s="6" t="inlineStr">
        <is>
          <t>aeaxn.22@gmail.com</t>
        </is>
      </c>
      <c r="C1505" s="5">
        <f>?utf-8?B?2KfZhNix2KzYp9ihINmF2LPYrSDYp9mE2KfYs9in2KbZhw==?=</f>
        <v/>
      </c>
      <c r="D1505" s="5" t="inlineStr">
        <is>
          <t>Hello! How can we help you?  Report وزباله و بنت تسال و تشرد : 65691000   ‫أُرسلت من الـ iPhone‬</t>
        </is>
      </c>
      <c r="E1505" s="7" t="inlineStr">
        <is>
          <t>65691000</t>
        </is>
      </c>
    </row>
    <row r="1506" ht="18" customHeight="1">
      <c r="A1506" s="2" t="inlineStr">
        <is>
          <t>Hn An &lt;aeaxn.22@gmail.com&gt;</t>
        </is>
      </c>
      <c r="B1506" s="3" t="inlineStr">
        <is>
          <t>aeaxn.22@gmail.com</t>
        </is>
      </c>
      <c r="C1506" s="2">
        <f>?utf-8?B?2KfZhNix2KzYp9ihINmF2LPYrSDYp9mE2KfYs9in2KbZhw==?=</f>
        <v/>
      </c>
      <c r="D1506" s="2" t="inlineStr">
        <is>
          <t>Hello! How can we help you?  Report وزباله و بنت تسال و تشرد : 65691000   ‫أُرسلت من الـ iPhone‬</t>
        </is>
      </c>
      <c r="E1506" s="4" t="inlineStr">
        <is>
          <t>65691000</t>
        </is>
      </c>
    </row>
    <row r="1507" ht="18" customHeight="1">
      <c r="A1507" s="5" t="inlineStr">
        <is>
          <t>Hn An &lt;aeaxn.22@gmail.com&gt;</t>
        </is>
      </c>
      <c r="B1507" s="6" t="inlineStr">
        <is>
          <t>aeaxn.22@gmail.com</t>
        </is>
      </c>
      <c r="C1507" s="5">
        <f>?utf-8?B?2KfZhNix2KzYp9ihINmF2LPYrSDYp9mE2KfYs9in2KbZhw==?=</f>
        <v/>
      </c>
      <c r="D1507" s="5" t="inlineStr">
        <is>
          <t>Hello! How can we help you?  Report وزباله و بنت تسال و تشرد : 65691000   ‫أُرسلت من الـ iPhone‬</t>
        </is>
      </c>
      <c r="E1507" s="7" t="inlineStr">
        <is>
          <t>65691000</t>
        </is>
      </c>
    </row>
    <row r="1508" ht="18" customHeight="1">
      <c r="A1508" s="2" t="inlineStr">
        <is>
          <t>Hn An &lt;aeaxn.22@gmail.com&gt;</t>
        </is>
      </c>
      <c r="B1508" s="3" t="inlineStr">
        <is>
          <t>aeaxn.22@gmail.com</t>
        </is>
      </c>
      <c r="C1508" s="2">
        <f>?utf-8?B?2KfZhNix2KzYp9ihINmF2LPYrSDYp9mE2KfYs9in2KbZhw==?=</f>
        <v/>
      </c>
      <c r="D1508" s="2" t="inlineStr">
        <is>
          <t>Hello! How can we help you?  Report وزباله و بنت تسال و تشرد : 65691000   ‫أُرسلت من الـ iPhone‬</t>
        </is>
      </c>
      <c r="E1508" s="4" t="inlineStr">
        <is>
          <t>65691000</t>
        </is>
      </c>
    </row>
    <row r="1509" ht="18" customHeight="1">
      <c r="A1509" s="5" t="inlineStr">
        <is>
          <t>shmayel aldh &lt;itsshmayel@icloud.com&gt;</t>
        </is>
      </c>
      <c r="B1509" s="6" t="inlineStr">
        <is>
          <t>itsshmayel@icloud.com</t>
        </is>
      </c>
      <c r="C1509" s="5" t="inlineStr"/>
      <c r="D1509" s="5" t="inlineStr">
        <is>
          <t>Hello! How can we help you?  Report ام خالد 4 أبناء كبار تبي إيجار شقه غ ع : 60668118   Sent from my iPhone</t>
        </is>
      </c>
      <c r="E1509" s="7" t="inlineStr">
        <is>
          <t>60668118</t>
        </is>
      </c>
    </row>
    <row r="1510" ht="18" customHeight="1">
      <c r="A1510" s="2" t="inlineStr">
        <is>
          <t>shmayel aldh &lt;itsshmayel@icloud.com&gt;</t>
        </is>
      </c>
      <c r="B1510" s="3" t="inlineStr">
        <is>
          <t>itsshmayel@icloud.com</t>
        </is>
      </c>
      <c r="C1510" s="2" t="inlineStr"/>
      <c r="D1510" s="2" t="inlineStr">
        <is>
          <t>Hello! How can we help you?  Report َ طالبه شقه ب عبداللله مبارك : 60668118   Sent from my iPhone</t>
        </is>
      </c>
      <c r="E1510" s="4" t="inlineStr">
        <is>
          <t>60668118</t>
        </is>
      </c>
    </row>
    <row r="1511" ht="18" customHeight="1">
      <c r="A1511" s="5" t="inlineStr">
        <is>
          <t>lulwa alturaiji &lt;alturaijilulwa@hotmail.com&gt;</t>
        </is>
      </c>
      <c r="B1511" s="6" t="inlineStr">
        <is>
          <t>alturaijilulwa@hotmail.com</t>
        </is>
      </c>
      <c r="C1511" s="5" t="inlineStr"/>
      <c r="D1511" s="5" t="inlineStr">
        <is>
          <t xml:space="preserve">Hello! How can we help you?  الرجاء ازاله الرقم لما فيه من معلومات خاصه و بيانات  Report لولو / قرطبه / ق 2/ ش 1/ج : 55290990 </t>
        </is>
      </c>
      <c r="E1511" s="7" t="inlineStr">
        <is>
          <t>55290990</t>
        </is>
      </c>
    </row>
    <row r="1512" ht="18" customHeight="1">
      <c r="A1512" s="2">
        <f>?utf-8?B?2YfYr9mK2YQg2KfZhNi02YXYsdmK?= &lt;hadeel2413@gmail.com&gt;</f>
        <v/>
      </c>
      <c r="B1512" s="3" t="inlineStr">
        <is>
          <t>hadeel2413@gmail.com</t>
        </is>
      </c>
      <c r="C1512" s="2" t="inlineStr"/>
      <c r="D1512" s="2" t="inlineStr">
        <is>
          <t>Hello! How can we help you?  Report حبيبتي ❤ : 94989458   Sent from my iPhone</t>
        </is>
      </c>
      <c r="E1512" s="4" t="inlineStr">
        <is>
          <t>94989458</t>
        </is>
      </c>
    </row>
    <row r="1513" ht="18" customHeight="1">
      <c r="A1513" s="5">
        <f>?utf-8?B?2YfYr9mK2YQg2KfZhNi02YXYsdmK?= &lt;hadeel2413@gmail.com&gt;</f>
        <v/>
      </c>
      <c r="B1513" s="6" t="inlineStr">
        <is>
          <t>hadeel2413@gmail.com</t>
        </is>
      </c>
      <c r="C1513" s="5" t="inlineStr"/>
      <c r="D1513" s="5" t="inlineStr">
        <is>
          <t>Hello! How can we help you?  Report حبيبتي : 94989458   Sent from my iPhone</t>
        </is>
      </c>
      <c r="E1513" s="7" t="inlineStr">
        <is>
          <t>94989458</t>
        </is>
      </c>
    </row>
    <row r="1514" ht="18" customHeight="1">
      <c r="A1514" s="2">
        <f>?utf-8?B?2YfYr9mK2YQg2KfZhNi02YXYsdmK?= &lt;hadeel2413@gmail.com&gt;</f>
        <v/>
      </c>
      <c r="B1514" s="3" t="inlineStr">
        <is>
          <t>hadeel2413@gmail.com</t>
        </is>
      </c>
      <c r="C1514" s="2" t="inlineStr"/>
      <c r="D1514" s="2" t="inlineStr">
        <is>
          <t>Hello! How can we help you?  Report ايام ليتها تعود : 94989458   Sent from my iPhone</t>
        </is>
      </c>
      <c r="E1514" s="4" t="inlineStr">
        <is>
          <t>94989458</t>
        </is>
      </c>
    </row>
    <row r="1515" ht="18" customHeight="1">
      <c r="A1515" s="5" t="inlineStr">
        <is>
          <t>Mubarak Mail &lt;q81970@gmail.com&gt;</t>
        </is>
      </c>
      <c r="B1515" s="6" t="inlineStr">
        <is>
          <t>q81970@gmail.com</t>
        </is>
      </c>
      <c r="C1515" s="5">
        <f>?utf-8?B?2KrZgdi52YrZhCDYrdis2Kgg2KfZhNix2YLZhQ==?=</f>
        <v/>
      </c>
      <c r="D1515" s="5" t="inlineStr">
        <is>
          <t>Hello! How can we help you?  السلام عليكم  انا كنت دافع من فتره لحجب الرقم وبالفعل تم الحجب ومن خلال المراجه ماخرا تبين بان الرقم مازال متاح للجميع ارجو التفسير Eng.Mubarak</t>
        </is>
      </c>
      <c r="E1515" s="7" t="inlineStr"/>
    </row>
    <row r="1516" ht="18" customHeight="1">
      <c r="A1516" s="2">
        <f>?utf-8?B?2YXYsdmK2YUg2KfZhNi52YjYttmK?= &lt;maryomaalawadhi@icloud.com&gt;</f>
        <v/>
      </c>
      <c r="B1516" s="3" t="inlineStr">
        <is>
          <t>maryomaalawadhi@icloud.com</t>
        </is>
      </c>
      <c r="C1516" s="2">
        <f>?utf-8?B?2LnZgdmI2Kcg2LnZhtmI2KfZhtmKINin2YTZg9in2YXZhCDYuNin?=  =?utf-8?B?2YfYsSDYtdin2LHZhNmKINmK2YjZhdmK2YYg2KfYqtmI2KfYtdmE?=  =?utf-8?B?INmF2LnYp9mD2YUg2YjYqtiv2LLZiNmG2YTZiiDYqtmFINit2Lg=?=  =?utf-8?B?2LEg2KfZhNix2YLZhSDYqNizINmF2KfYstin2YQg2YXZiNis2Yg=?=  =?utf-8?B?2K8g2YPYsNin2YTZgyDYsdmC2YXZiiDYp9mE2YXYr9mG2Yog?=</f>
        <v/>
      </c>
      <c r="D1516" s="2" t="inlineStr">
        <is>
          <t>Hello! How can we help you?  Report الاندلس ق 9 ش 6 م 148 : 90015072   Sent from my iPhone</t>
        </is>
      </c>
      <c r="E1516" s="4" t="inlineStr">
        <is>
          <t>90015072</t>
        </is>
      </c>
    </row>
    <row r="1517" ht="18" customHeight="1">
      <c r="A1517" s="5" t="inlineStr">
        <is>
          <t>Saleh Mishary &lt;salehmishary9@gmail.com&gt;</t>
        </is>
      </c>
      <c r="B1517" s="6" t="inlineStr">
        <is>
          <t>salehmishary9@gmail.com</t>
        </is>
      </c>
      <c r="C1517" s="5" t="inlineStr">
        <is>
          <t>Thats not my name</t>
        </is>
      </c>
      <c r="D1517" s="5" t="inlineStr">
        <is>
          <t>Hello! How can we help you?  Report بوصماخ البدري : 99963655   Sent from my iPhone</t>
        </is>
      </c>
      <c r="E1517" s="7" t="inlineStr">
        <is>
          <t>99963655</t>
        </is>
      </c>
    </row>
    <row r="1518" ht="18" customHeight="1">
      <c r="A1518" s="2" t="inlineStr">
        <is>
          <t>Mariam Afana &lt;mariamafffff@gmail.com&gt;</t>
        </is>
      </c>
      <c r="B1518" s="3" t="inlineStr">
        <is>
          <t>mariamafffff@gmail.com</t>
        </is>
      </c>
      <c r="C1518" s="2" t="inlineStr"/>
      <c r="D1518" s="2" t="inlineStr">
        <is>
          <t>Hello! How can we help you?  Report Bi 2 : 50958123   Sent from my iPhone</t>
        </is>
      </c>
      <c r="E1518" s="4" t="inlineStr">
        <is>
          <t>50958123</t>
        </is>
      </c>
    </row>
    <row r="1519" ht="18" customHeight="1">
      <c r="A1519" s="5" t="inlineStr">
        <is>
          <t>Mariam Afana &lt;mariamafffff@gmail.com&gt;</t>
        </is>
      </c>
      <c r="B1519" s="6" t="inlineStr">
        <is>
          <t>mariamafffff@gmail.com</t>
        </is>
      </c>
      <c r="C1519" s="5" t="inlineStr"/>
      <c r="D1519" s="5" t="inlineStr">
        <is>
          <t>Hello! How can we help you?  Report Bi : 66568769   Sent from my iPhone</t>
        </is>
      </c>
      <c r="E1519" s="7" t="inlineStr">
        <is>
          <t>66568769</t>
        </is>
      </c>
    </row>
    <row r="1520" ht="18" customHeight="1">
      <c r="A1520" s="2" t="inlineStr">
        <is>
          <t>Mariam Afana &lt;mariamafffff@gmail.com&gt;</t>
        </is>
      </c>
      <c r="B1520" s="3" t="inlineStr">
        <is>
          <t>mariamafffff@gmail.com</t>
        </is>
      </c>
      <c r="C1520" s="2" t="inlineStr"/>
      <c r="D1520" s="2" t="inlineStr">
        <is>
          <t>Hello! How can we help you?  Report *24.5" : 66568769   Sent from my iPhone</t>
        </is>
      </c>
      <c r="E1520" s="4" t="inlineStr">
        <is>
          <t>66568769</t>
        </is>
      </c>
    </row>
    <row r="1521" ht="18" customHeight="1">
      <c r="A1521" s="5" t="inlineStr">
        <is>
          <t>ali k 3 &lt;alialkandari1993@gmail.com&gt;</t>
        </is>
      </c>
      <c r="B1521" s="6" t="inlineStr">
        <is>
          <t>alialkandari1993@gmail.com</t>
        </is>
      </c>
      <c r="C1521" s="5" t="inlineStr"/>
      <c r="D1521" s="5" t="inlineStr">
        <is>
          <t>Hello! How can we help you?  Report ال بوحسن علي الكندري امام الطريجي الزهرا : 94419841   Sent from my iPhone</t>
        </is>
      </c>
      <c r="E1521" s="7" t="inlineStr">
        <is>
          <t>94419841</t>
        </is>
      </c>
    </row>
    <row r="1522" ht="18" customHeight="1">
      <c r="A1522" s="2" t="inlineStr">
        <is>
          <t>ali k 3 &lt;alialkandari1993@gmail.com&gt;</t>
        </is>
      </c>
      <c r="B1522" s="3" t="inlineStr">
        <is>
          <t>alialkandari1993@gmail.com</t>
        </is>
      </c>
      <c r="C1522" s="2" t="inlineStr"/>
      <c r="D1522" s="2" t="inlineStr">
        <is>
          <t>Hello! How can we help you?  Report إمام فهد الطريجي الزهراء علي : 94419841   Sent from my iPhone</t>
        </is>
      </c>
      <c r="E1522" s="4" t="inlineStr">
        <is>
          <t>94419841</t>
        </is>
      </c>
    </row>
    <row r="1523" ht="18" customHeight="1">
      <c r="A1523" s="5" t="inlineStr">
        <is>
          <t>ali k 3 &lt;alialkandari1993@gmail.com&gt;</t>
        </is>
      </c>
      <c r="B1523" s="6" t="inlineStr">
        <is>
          <t>alialkandari1993@gmail.com</t>
        </is>
      </c>
      <c r="C1523" s="5" t="inlineStr"/>
      <c r="D1523" s="5" t="inlineStr">
        <is>
          <t>Hello! How can we help you?  Report علي الكندري امام : 94419841   Sent from my iPhone</t>
        </is>
      </c>
      <c r="E1523" s="7" t="inlineStr">
        <is>
          <t>94419841</t>
        </is>
      </c>
    </row>
    <row r="1524" ht="18" customHeight="1">
      <c r="A1524" s="2" t="inlineStr">
        <is>
          <t>Hn An &lt;aeaxn.22@gmail.com&gt;</t>
        </is>
      </c>
      <c r="B1524" s="3" t="inlineStr">
        <is>
          <t>aeaxn.22@gmail.com</t>
        </is>
      </c>
      <c r="C152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4" s="2" t="inlineStr">
        <is>
          <t>Hello! How can we help you?  Report وزباله و بنت تسال و تشرد : 65691000   ‫أُرسلت من الـ iPhone‬</t>
        </is>
      </c>
      <c r="E1524" s="4" t="inlineStr">
        <is>
          <t>65691000</t>
        </is>
      </c>
    </row>
    <row r="1525" ht="18" customHeight="1">
      <c r="A1525" s="5" t="inlineStr">
        <is>
          <t>Hn An &lt;aeaxn.22@gmail.com&gt;</t>
        </is>
      </c>
      <c r="B1525" s="6" t="inlineStr">
        <is>
          <t>aeaxn.22@gmail.com</t>
        </is>
      </c>
      <c r="C152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5" s="5" t="inlineStr">
        <is>
          <t>Hello! How can we help you?  Report وزباله و بنت تسال و تشرد : 65691000   ‫أُرسلت من الـ iPhone‬</t>
        </is>
      </c>
      <c r="E1525" s="7" t="inlineStr">
        <is>
          <t>65691000</t>
        </is>
      </c>
    </row>
    <row r="1526" ht="18" customHeight="1">
      <c r="A1526" s="2" t="inlineStr">
        <is>
          <t>Hn An &lt;aeaxn.22@gmail.com&gt;</t>
        </is>
      </c>
      <c r="B1526" s="3" t="inlineStr">
        <is>
          <t>aeaxn.22@gmail.com</t>
        </is>
      </c>
      <c r="C152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6" s="2" t="inlineStr">
        <is>
          <t>Hello! How can we help you?  Report وزباله و بنت تسال و تشرد : 65691000   ‫أُرسلت من الـ iPhone‬</t>
        </is>
      </c>
      <c r="E1526" s="4" t="inlineStr">
        <is>
          <t>65691000</t>
        </is>
      </c>
    </row>
    <row r="1527" ht="18" customHeight="1">
      <c r="A1527" s="5" t="inlineStr">
        <is>
          <t>Hn An &lt;aeaxn.22@gmail.com&gt;</t>
        </is>
      </c>
      <c r="B1527" s="6" t="inlineStr">
        <is>
          <t>aeaxn.22@gmail.com</t>
        </is>
      </c>
      <c r="C152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7" s="5" t="inlineStr">
        <is>
          <t>Hello! How can we help you?  Report وزباله و بنت تسال و تشرد : 65691000   ‫أُرسلت من الـ iPhone‬</t>
        </is>
      </c>
      <c r="E1527" s="7" t="inlineStr">
        <is>
          <t>65691000</t>
        </is>
      </c>
    </row>
    <row r="1528" ht="18" customHeight="1">
      <c r="A1528" s="2" t="inlineStr">
        <is>
          <t>Hn An &lt;aeaxn.22@gmail.com&gt;</t>
        </is>
      </c>
      <c r="B1528" s="3" t="inlineStr">
        <is>
          <t>aeaxn.22@gmail.com</t>
        </is>
      </c>
      <c r="C152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8" s="2" t="inlineStr">
        <is>
          <t>Hello! How can we help you?  Report وزباله و بنت تسال و تشرد : 65691000   ‫أُرسلت من الـ iPhone‬</t>
        </is>
      </c>
      <c r="E1528" s="4" t="inlineStr">
        <is>
          <t>65691000</t>
        </is>
      </c>
    </row>
    <row r="1529" ht="18" customHeight="1">
      <c r="A1529" s="5" t="inlineStr">
        <is>
          <t>Hn An &lt;aeaxn.22@gmail.com&gt;</t>
        </is>
      </c>
      <c r="B1529" s="6" t="inlineStr">
        <is>
          <t>aeaxn.22@gmail.com</t>
        </is>
      </c>
      <c r="C152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29" s="5" t="inlineStr">
        <is>
          <t>Hello! How can we help you?  Report وزباله و بنت تسال و تشرد : 65691000   ‫أُرسلت من الـ iPhone‬</t>
        </is>
      </c>
      <c r="E1529" s="7" t="inlineStr">
        <is>
          <t>65691000</t>
        </is>
      </c>
    </row>
    <row r="1530" ht="18" customHeight="1">
      <c r="A1530" s="2" t="inlineStr">
        <is>
          <t>Hn An &lt;aeaxn.22@gmail.com&gt;</t>
        </is>
      </c>
      <c r="B1530" s="3" t="inlineStr">
        <is>
          <t>aeaxn.22@gmail.com</t>
        </is>
      </c>
      <c r="C153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0" s="2" t="inlineStr">
        <is>
          <t>Hello! How can we help you?  Report وزباله و بنت تسال و تشرد : 65691000   ‫أُرسلت من الـ iPhone‬</t>
        </is>
      </c>
      <c r="E1530" s="4" t="inlineStr">
        <is>
          <t>65691000</t>
        </is>
      </c>
    </row>
    <row r="1531" ht="18" customHeight="1">
      <c r="A1531" s="5" t="inlineStr">
        <is>
          <t>Hn An &lt;aeaxn.22@gmail.com&gt;</t>
        </is>
      </c>
      <c r="B1531" s="6" t="inlineStr">
        <is>
          <t>aeaxn.22@gmail.com</t>
        </is>
      </c>
      <c r="C153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1" s="5" t="inlineStr">
        <is>
          <t>Hello! How can we help you?  Report وزباله و بنت تسال و تشرد : 65691000   ‫أُرسلت من الـ iPhone‬</t>
        </is>
      </c>
      <c r="E1531" s="7" t="inlineStr">
        <is>
          <t>65691000</t>
        </is>
      </c>
    </row>
    <row r="1532" ht="18" customHeight="1">
      <c r="A1532" s="2" t="inlineStr">
        <is>
          <t>Hn An &lt;aeaxn.22@gmail.com&gt;</t>
        </is>
      </c>
      <c r="B1532" s="3" t="inlineStr">
        <is>
          <t>aeaxn.22@gmail.com</t>
        </is>
      </c>
      <c r="C153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2" s="2" t="inlineStr">
        <is>
          <t>Hello! How can we help you?  Report وزباله و بنت تسال و تشرد : 65691000   ‫أُرسلت من الـ iPhone‬</t>
        </is>
      </c>
      <c r="E1532" s="4" t="inlineStr">
        <is>
          <t>65691000</t>
        </is>
      </c>
    </row>
    <row r="1533" ht="18" customHeight="1">
      <c r="A1533" s="5" t="inlineStr">
        <is>
          <t>Hn An &lt;aeaxn.22@gmail.com&gt;</t>
        </is>
      </c>
      <c r="B1533" s="6" t="inlineStr">
        <is>
          <t>aeaxn.22@gmail.com</t>
        </is>
      </c>
      <c r="C153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3" s="5" t="inlineStr">
        <is>
          <t>Hello! How can we help you?  Report وزباله و بنت تسال و تشرد : 65691000   ‫أُرسلت من الـ iPhone‬</t>
        </is>
      </c>
      <c r="E1533" s="7" t="inlineStr">
        <is>
          <t>65691000</t>
        </is>
      </c>
    </row>
    <row r="1534" ht="18" customHeight="1">
      <c r="A1534" s="2" t="inlineStr">
        <is>
          <t>Hn An &lt;aeaxn.22@gmail.com&gt;</t>
        </is>
      </c>
      <c r="B1534" s="3" t="inlineStr">
        <is>
          <t>aeaxn.22@gmail.com</t>
        </is>
      </c>
      <c r="C153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4" s="2" t="inlineStr">
        <is>
          <t>Hello! How can we help you?  Report وزباله و بنت تسال و تشرد : 65691000   ‫أُرسلت من الـ iPhone‬</t>
        </is>
      </c>
      <c r="E1534" s="4" t="inlineStr">
        <is>
          <t>65691000</t>
        </is>
      </c>
    </row>
    <row r="1535" ht="18" customHeight="1">
      <c r="A1535" s="5" t="inlineStr">
        <is>
          <t>Hn An &lt;aeaxn.22@gmail.com&gt;</t>
        </is>
      </c>
      <c r="B1535" s="6" t="inlineStr">
        <is>
          <t>aeaxn.22@gmail.com</t>
        </is>
      </c>
      <c r="C153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5" s="5" t="inlineStr">
        <is>
          <t>Hello! How can we help you?  Report وزباله و بنت تسال و تشرد : 65691000   ‫أُرسلت من الـ iPhone‬</t>
        </is>
      </c>
      <c r="E1535" s="7" t="inlineStr">
        <is>
          <t>65691000</t>
        </is>
      </c>
    </row>
    <row r="1536" ht="18" customHeight="1">
      <c r="A1536" s="2" t="inlineStr">
        <is>
          <t>Hn An &lt;aeaxn.22@gmail.com&gt;</t>
        </is>
      </c>
      <c r="B1536" s="3" t="inlineStr">
        <is>
          <t>aeaxn.22@gmail.com</t>
        </is>
      </c>
      <c r="C153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6" s="2" t="inlineStr">
        <is>
          <t>Hello! How can we help you?  Report وزباله و بنت تسال و تشرد : 65691000   ‫أُرسلت من الـ iPhone‬</t>
        </is>
      </c>
      <c r="E1536" s="4" t="inlineStr">
        <is>
          <t>65691000</t>
        </is>
      </c>
    </row>
    <row r="1537" ht="18" customHeight="1">
      <c r="A1537" s="5" t="inlineStr">
        <is>
          <t>Hn An &lt;aeaxn.22@gmail.com&gt;</t>
        </is>
      </c>
      <c r="B1537" s="6" t="inlineStr">
        <is>
          <t>aeaxn.22@gmail.com</t>
        </is>
      </c>
      <c r="C153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7" s="5" t="inlineStr">
        <is>
          <t>Hello! How can we help you?  Report وزباله و بنت تسال و تشرد : 65691000   ‫أُرسلت من الـ iPhone‬</t>
        </is>
      </c>
      <c r="E1537" s="7" t="inlineStr">
        <is>
          <t>65691000</t>
        </is>
      </c>
    </row>
    <row r="1538" ht="18" customHeight="1">
      <c r="A1538" s="2" t="inlineStr">
        <is>
          <t>Hn An &lt;aeaxn.22@gmail.com&gt;</t>
        </is>
      </c>
      <c r="B1538" s="3" t="inlineStr">
        <is>
          <t>aeaxn.22@gmail.com</t>
        </is>
      </c>
      <c r="C153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8" s="2" t="inlineStr">
        <is>
          <t>Hello! How can we help you?  Report وزباله و بنت تسال و تشرد : 65691000   ‫أُرسلت من الـ iPhone‬</t>
        </is>
      </c>
      <c r="E1538" s="4" t="inlineStr">
        <is>
          <t>65691000</t>
        </is>
      </c>
    </row>
    <row r="1539" ht="18" customHeight="1">
      <c r="A1539" s="5" t="inlineStr">
        <is>
          <t>Hn An &lt;aeaxn.22@gmail.com&gt;</t>
        </is>
      </c>
      <c r="B1539" s="6" t="inlineStr">
        <is>
          <t>aeaxn.22@gmail.com</t>
        </is>
      </c>
      <c r="C153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39" s="5" t="inlineStr">
        <is>
          <t>Hello! How can we help you?  Report وزباله و بنت تسال و تشرد : 65691000   ‫أُرسلت من الـ iPhone‬</t>
        </is>
      </c>
      <c r="E1539" s="7" t="inlineStr">
        <is>
          <t>65691000</t>
        </is>
      </c>
    </row>
    <row r="1540" ht="18" customHeight="1">
      <c r="A1540" s="2" t="inlineStr">
        <is>
          <t>Hn An &lt;aeaxn.22@gmail.com&gt;</t>
        </is>
      </c>
      <c r="B1540" s="3" t="inlineStr">
        <is>
          <t>aeaxn.22@gmail.com</t>
        </is>
      </c>
      <c r="C154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=?utf-8?B?LiDZiNi02YPYsdin2YsgINin2YTYp9iz2KfYptmHINmH2Yog2Kg=?=  =?utf-8?B?2YbYqiDYstio2KfZhNmHICAg2LnZhNmJINin2YTYsdmC2YUgNjU2?=  =?utf-8?B?OTEwMDA=?=</f>
        <v/>
      </c>
      <c r="D1540" s="2" t="inlineStr">
        <is>
          <t>Hello! How can we help you?  Report وزباله و بنت تسال و تشرد : 65691000   ‫أُرسلت من الـ iPhone‬</t>
        </is>
      </c>
      <c r="E1540" s="4" t="inlineStr">
        <is>
          <t>65691000</t>
        </is>
      </c>
    </row>
    <row r="1541" ht="18" customHeight="1">
      <c r="A1541" s="5" t="inlineStr">
        <is>
          <t>Am Ah &lt;ngm150a@icloud.com&gt;</t>
        </is>
      </c>
      <c r="B1541" s="6" t="inlineStr">
        <is>
          <t>ngm150a@icloud.com</t>
        </is>
      </c>
      <c r="C1541" s="5">
        <f>?utf-8?B?2KfYsdis2Ygg2K3YsNmBINin2YTYp9iz2YU=?=</f>
        <v/>
      </c>
      <c r="D1541" s="5" t="inlineStr">
        <is>
          <t>Hello! How can we help you?  Report 301043000587 : 51116798   ‫أُرسلت من الـ iPhone‬</t>
        </is>
      </c>
      <c r="E1541" s="7" t="inlineStr">
        <is>
          <t>51116798</t>
        </is>
      </c>
    </row>
    <row r="1542" ht="18" customHeight="1">
      <c r="A1542" s="2" t="inlineStr">
        <is>
          <t>Fahad Alenezi &lt;borattool@gmail.com&gt;</t>
        </is>
      </c>
      <c r="B1542" s="3" t="inlineStr">
        <is>
          <t>borattool@gmail.com</t>
        </is>
      </c>
      <c r="C1542" s="2" t="inlineStr"/>
      <c r="D1542" s="2" t="inlineStr">
        <is>
          <t xml:space="preserve">Hello! How can we help you?  Report rubbish customer : 68880138   ‫أُرسلت من الـ iPhone‬ الرجاء ازالة تخزين هذا الاسم </t>
        </is>
      </c>
      <c r="E1542" s="4" t="inlineStr">
        <is>
          <t>68880138</t>
        </is>
      </c>
    </row>
    <row r="1543" ht="18" customHeight="1">
      <c r="A1543" s="5" t="inlineStr">
        <is>
          <t>Am Ah &lt;ngm150a@icloud.com&gt;</t>
        </is>
      </c>
      <c r="B1543" s="6" t="inlineStr">
        <is>
          <t>ngm150a@icloud.com</t>
        </is>
      </c>
      <c r="C1543" s="5" t="inlineStr"/>
      <c r="D1543" s="5" t="inlineStr">
        <is>
          <t>Hello! How can we help you?  Report لديه عندة سد لد فn8 التوزيعه 2 قطعه قسيمه 52عايز : 51116798   ‫أُرسلت من الـ iPhone‬</t>
        </is>
      </c>
      <c r="E1543" s="7" t="inlineStr">
        <is>
          <t>51116798</t>
        </is>
      </c>
    </row>
    <row r="1544" ht="18" customHeight="1">
      <c r="A1544" s="2" t="inlineStr">
        <is>
          <t>khlolud alalati &lt;khloludalalti@gmail.com&gt;</t>
        </is>
      </c>
      <c r="B1544" s="3" t="inlineStr">
        <is>
          <t>khloludalalti@gmail.com</t>
        </is>
      </c>
      <c r="C1544" s="2">
        <f>?utf-8?B?2KfZhNin2LPZhSDYutmE2Lcg2YjYutmK2LEg2YXYrdio2YjYqA==?=</f>
        <v/>
      </c>
      <c r="D1544" s="2" t="inlineStr">
        <is>
          <t>Hello! How can we help you?  Report زلط محمد : 55839168   ‫أُرسلت من الـ iPhone‬</t>
        </is>
      </c>
      <c r="E1544" s="4" t="inlineStr">
        <is>
          <t>55839168</t>
        </is>
      </c>
    </row>
    <row r="1545" ht="18" customHeight="1">
      <c r="A1545" s="5" t="inlineStr">
        <is>
          <t>khlolud alalati &lt;khloludalalti@gmail.com&gt;</t>
        </is>
      </c>
      <c r="B1545" s="6" t="inlineStr">
        <is>
          <t>khloludalalti@gmail.com</t>
        </is>
      </c>
      <c r="C1545" s="5">
        <f>?utf-8?B?2KfZhNin2LPZhSDYutmE2Lcg2YjYutmK2LEg2YXYrdio2YjYqA==?=</f>
        <v/>
      </c>
      <c r="D1545" s="5" t="inlineStr">
        <is>
          <t>Hello! How can we help you?  Report الخدامه- : 55839168   ‫أُرسلت من الـ iPhone‬</t>
        </is>
      </c>
      <c r="E1545" s="7" t="inlineStr">
        <is>
          <t>55839168</t>
        </is>
      </c>
    </row>
    <row r="1546" ht="18" customHeight="1">
      <c r="A1546" s="2" t="inlineStr">
        <is>
          <t>khlolud alalati &lt;khloludalalti@gmail.com&gt;</t>
        </is>
      </c>
      <c r="B1546" s="3" t="inlineStr">
        <is>
          <t>khloludalalti@gmail.com</t>
        </is>
      </c>
      <c r="C1546" s="2">
        <f>?utf-8?B?2KfZhNin2LPZhSDYutmE2Lcg2YjYutmK2LEg2YXYrdio2YjYqA==?=</f>
        <v/>
      </c>
      <c r="D1546" s="2" t="inlineStr">
        <is>
          <t>Hello! How can we help you?  Report حليمه : 55839168   ‫أُرسلت من الـ iPhone‬</t>
        </is>
      </c>
      <c r="E1546" s="4" t="inlineStr">
        <is>
          <t>55839168</t>
        </is>
      </c>
    </row>
    <row r="1547" ht="18" customHeight="1">
      <c r="A1547" s="5" t="inlineStr">
        <is>
          <t>ghadeer ali &lt;ghadeer480@gmail.com&gt;</t>
        </is>
      </c>
      <c r="B1547" s="6" t="inlineStr">
        <is>
          <t>ghadeer480@gmail.com</t>
        </is>
      </c>
      <c r="C1547" s="5">
        <f>?utf-8?B?2LrZhNi3INio2KfZhNin2LPZhQ==?=</f>
        <v/>
      </c>
      <c r="D1547" s="5" t="inlineStr">
        <is>
          <t>Hello! How can we help you?  Report سياره حمراءء بالعماره : 60307815   ‫أُرسلت من الـ iPhone‬</t>
        </is>
      </c>
      <c r="E1547" s="7" t="inlineStr">
        <is>
          <t>60307815</t>
        </is>
      </c>
    </row>
    <row r="1548" ht="18" customHeight="1">
      <c r="A1548" s="2" t="inlineStr">
        <is>
          <t>ghadeer ali &lt;ghadeer480@gmail.com&gt;</t>
        </is>
      </c>
      <c r="B1548" s="3" t="inlineStr">
        <is>
          <t>ghadeer480@gmail.com</t>
        </is>
      </c>
      <c r="C1548" s="2">
        <f>?utf-8?B?2KfZhNin2LPZhSDYrti32Kc=?=</f>
        <v/>
      </c>
      <c r="D1548" s="2" t="inlineStr">
        <is>
          <t>Hello! How can we help you?  Report ابو محمد مصري مدرس م شقه ابو حليفه : 60307815   ‫أُرسلت من الـ iPhone‬</t>
        </is>
      </c>
      <c r="E1548" s="4" t="inlineStr">
        <is>
          <t>60307815</t>
        </is>
      </c>
    </row>
    <row r="1549" ht="18" customHeight="1">
      <c r="A1549" s="5">
        <f>?utf-8?B?2LnYqNiv2KfZhNmE2Ycg2KfZhNi52YbYstmK?= &lt;aa.b.aq8@gmail.com&gt;</f>
        <v/>
      </c>
      <c r="B1549" s="6" t="inlineStr">
        <is>
          <t>aa.b.aq8@gmail.com</t>
        </is>
      </c>
      <c r="C1549" s="5">
        <f>?utf-8?Q?=D8=A7=D8=B1=D8=AC=D9=88_=D9=85=D8=B3=D8=AD_=D8=B1?=  =?utf-8?Q?=D9=82=D9=85=D9=8A_=D9=85=D9=86_=D9=85=D9=86=D9=88_?=  =?utf-8?Q?=D8=AF=D8=A7=D9=82_66057911?=</f>
        <v/>
      </c>
      <c r="D1549" s="5" t="inlineStr">
        <is>
          <t>Hello! How can we help you?  Report شش : 66057911   ‫أُرسلت من الـ iPhone‬</t>
        </is>
      </c>
      <c r="E1549" s="7" t="inlineStr">
        <is>
          <t>66057911</t>
        </is>
      </c>
    </row>
    <row r="1550" ht="18" customHeight="1">
      <c r="A1550" s="2" t="inlineStr">
        <is>
          <t>Hn An &lt;aeaxn.22@gmail.com&gt;</t>
        </is>
      </c>
      <c r="B1550" s="3" t="inlineStr">
        <is>
          <t>aeaxn.22@gmail.com</t>
        </is>
      </c>
      <c r="C1550" s="2">
        <f>?utf-8?B?2KfZhNix2K3Yp9ihINmF2LPYrSDYp9mE2KfYs9in2KbZhw==?=</f>
        <v/>
      </c>
      <c r="D1550" s="2" t="inlineStr">
        <is>
          <t>Hello! How can we help you?  Report وزباله و بنت تسال و تشرد : 65691000   ‫أُرسلت من الـ iPhone‬</t>
        </is>
      </c>
      <c r="E1550" s="4" t="inlineStr">
        <is>
          <t>65691000</t>
        </is>
      </c>
    </row>
    <row r="1551" ht="18" customHeight="1">
      <c r="A1551" s="5" t="inlineStr">
        <is>
          <t>Hn An &lt;aeaxn.22@gmail.com&gt;</t>
        </is>
      </c>
      <c r="B1551" s="6" t="inlineStr">
        <is>
          <t>aeaxn.22@gmail.com</t>
        </is>
      </c>
      <c r="C1551" s="5">
        <f>?utf-8?B?2KfZhNix2K3Yp9ihINmF2LPYrSDYp9mE2KfYs9in2KbZhw==?=</f>
        <v/>
      </c>
      <c r="D1551" s="5" t="inlineStr">
        <is>
          <t>Hello! How can we help you?  Report وزباله و بنت تسال و تشرد : 65691000   ‫أُرسلت من الـ iPhone‬</t>
        </is>
      </c>
      <c r="E1551" s="7" t="inlineStr">
        <is>
          <t>65691000</t>
        </is>
      </c>
    </row>
    <row r="1552" ht="18" customHeight="1">
      <c r="A1552" s="2" t="inlineStr">
        <is>
          <t>Hn An &lt;aeaxn.22@gmail.com&gt;</t>
        </is>
      </c>
      <c r="B1552" s="3" t="inlineStr">
        <is>
          <t>aeaxn.22@gmail.com</t>
        </is>
      </c>
      <c r="C1552" s="2">
        <f>?utf-8?B?2KfZhNix2KzYp9ihINmF2LPYrSDYp9mE2KfYs9in2KbZhw==?=</f>
        <v/>
      </c>
      <c r="D1552" s="2" t="inlineStr">
        <is>
          <t>Hello! How can we help you?  Report وزباله و بنت تسال و تشرد : 65691000   ‫أُرسلت من الـ iPhone‬</t>
        </is>
      </c>
      <c r="E1552" s="4" t="inlineStr">
        <is>
          <t>65691000</t>
        </is>
      </c>
    </row>
    <row r="1553" ht="18" customHeight="1">
      <c r="A1553" s="5" t="inlineStr">
        <is>
          <t>Dhari Bq &lt;dhari.bg@gmail.com&gt;</t>
        </is>
      </c>
      <c r="B1553" s="6" t="inlineStr">
        <is>
          <t>dhari.bg@gmail.com</t>
        </is>
      </c>
      <c r="C1553" s="5">
        <f>?UTF-8?B?UmU6INiq2YUg2K3YrNioINin2YTYsdmC2YUg2KfZhNmF2LfZhNmI2Kg=?=</f>
        <v/>
      </c>
      <c r="D1553" s="5" t="inlineStr">
        <is>
          <t xml:space="preserve">اعلم بأن الرقم محجوب لأنني انا اشتريت خدمة البلوك  ولكن الاساءات على رقمي لم يتم مسحها  99111979  اريد اعطائي عنوان الشركه او رقم احد من الاداره لكي اتواصل معه  قبل ان اتخذ الاجراءات القانونيه ضد شركتكم بتهمة الابتزاز لانكم تجاوزتم حدود اللياقه .. منذ اكثر من سنه و انا اتواصل معكم و لم يتم حل الامر  كل ما اكلمكم تقولون لي تم حجب الرقم ، وانا اعلم لأنني انا اشتريت خدمة البلوك لكنكم لم تمسحو الاسماء المسيئة على رقمي       On Thu, 9 Oct 2025, 7:09 am تطبيق منو داق, &lt;sales@menodag.com&gt; wrote:  &gt; &gt; </t>
        </is>
      </c>
      <c r="E1553" s="7" t="inlineStr">
        <is>
          <t>99111979</t>
        </is>
      </c>
    </row>
    <row r="1554" ht="18" customHeight="1">
      <c r="A1554" s="2" t="inlineStr">
        <is>
          <t>Monaa Albouali &lt;monaalbouali@icloud.com&gt;</t>
        </is>
      </c>
      <c r="B1554" s="3" t="inlineStr">
        <is>
          <t>monaalbouali@icloud.com</t>
        </is>
      </c>
      <c r="C1554" s="2" t="inlineStr">
        <is>
          <t xml:space="preserve">Remove </t>
        </is>
      </c>
      <c r="D1554" s="2" t="inlineStr">
        <is>
          <t>Hello! How can we help you?  Report منى الايرانيه : 55880645  Hii team,  I would like to remove only this one from the search as it’s contain personal information about me.  Thank you   Sent from my iPhone</t>
        </is>
      </c>
      <c r="E1554" s="4" t="inlineStr">
        <is>
          <t>55880645</t>
        </is>
      </c>
    </row>
    <row r="1555" ht="18" customHeight="1">
      <c r="A1555" s="5" t="inlineStr">
        <is>
          <t>Ana Me &lt;a7ebny@gmail.com&gt;</t>
        </is>
      </c>
      <c r="B1555" s="6" t="inlineStr">
        <is>
          <t>a7ebny@gmail.com</t>
        </is>
      </c>
      <c r="C1555" s="5">
        <f>?UTF-8?B?UmU6INin2LTYqtix2KfZg9mK?=</f>
        <v/>
      </c>
      <c r="D1555" s="5" t="inlineStr">
        <is>
          <t xml:space="preserve">تم تقديم شكوى في تطبيق سهل و قريبا بالمخفر ان شاء الله 👍🏽  On Wed, 8 Oct 2025, 8:08 pm Ana Me, &lt;a7ebny@gmail.com&gt; wrote:  &gt; السلام عليكم.. اشتراكي الاخير شريته تاريخ 25/3/2025 ما صار ليش واصلني مسج &gt; انه انتهى اليوم؟ &gt; </t>
        </is>
      </c>
      <c r="E1555" s="7" t="inlineStr"/>
    </row>
    <row r="1556" ht="18" customHeight="1">
      <c r="A1556" s="2" t="inlineStr">
        <is>
          <t>Hn An &lt;aeaxn.22@gmail.com&gt;</t>
        </is>
      </c>
      <c r="B1556" s="3" t="inlineStr">
        <is>
          <t>aeaxn.22@gmail.com</t>
        </is>
      </c>
      <c r="C1556" s="2">
        <f>?utf-8?B?2KfZhNix2KzYp9ihINmF2LPYrSDYp9mE2KfYs9in2KbZhw==?=</f>
        <v/>
      </c>
      <c r="D1556" s="2" t="inlineStr">
        <is>
          <t>Hello! How can we help you?  Report وزباله و بنت تسال و تشرد : 65691000   ‫أُرسلت من الـ iPhone‬</t>
        </is>
      </c>
      <c r="E1556" s="4" t="inlineStr">
        <is>
          <t>65691000</t>
        </is>
      </c>
    </row>
    <row r="1557" ht="18" customHeight="1">
      <c r="A1557" s="5" t="inlineStr">
        <is>
          <t>Sara Alshammari &lt;salsh2008@icloud.com&gt;</t>
        </is>
      </c>
      <c r="B1557" s="6" t="inlineStr">
        <is>
          <t>salsh2008@icloud.com</t>
        </is>
      </c>
      <c r="C1557" s="5" t="inlineStr"/>
      <c r="D1557" s="5" t="inlineStr">
        <is>
          <t>Hello! How can we help you?  Report منال الشمري واتس اب- : 94432236   Sent from my iPhone</t>
        </is>
      </c>
      <c r="E1557" s="7" t="inlineStr">
        <is>
          <t>94432236</t>
        </is>
      </c>
    </row>
    <row r="1558" ht="18" customHeight="1">
      <c r="A1558" s="2" t="inlineStr">
        <is>
          <t>Ahmad Al Ahmad &lt;theextraneous7@gmail.com&gt;</t>
        </is>
      </c>
      <c r="B1558" s="3" t="inlineStr">
        <is>
          <t>theextraneous7@gmail.com</t>
        </is>
      </c>
      <c r="C1558" s="2" t="inlineStr"/>
      <c r="D1558" s="2" t="inlineStr">
        <is>
          <t xml:space="preserve">Hello! How can we help you?  Report الصچمه- : 65111510  </t>
        </is>
      </c>
      <c r="E1558" s="4" t="inlineStr">
        <is>
          <t>65111510</t>
        </is>
      </c>
    </row>
    <row r="1559" ht="18" customHeight="1">
      <c r="A1559" s="5" t="inlineStr">
        <is>
          <t>Hn An &lt;aeaxn.22@gmail.com&gt;</t>
        </is>
      </c>
      <c r="B1559" s="6" t="inlineStr">
        <is>
          <t>aeaxn.22@gmail.com</t>
        </is>
      </c>
      <c r="C155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59" s="5" t="inlineStr">
        <is>
          <t>Hello! How can we help you?  Report وزباله و بنت تسال و تشرد : 65691000   ‫أُرسلت من الـ iPhone‬</t>
        </is>
      </c>
      <c r="E1559" s="7" t="inlineStr">
        <is>
          <t>65691000</t>
        </is>
      </c>
    </row>
    <row r="1560" ht="18" customHeight="1">
      <c r="A1560" s="2" t="inlineStr">
        <is>
          <t>Hn An &lt;aeaxn.22@gmail.com&gt;</t>
        </is>
      </c>
      <c r="B1560" s="3" t="inlineStr">
        <is>
          <t>aeaxn.22@gmail.com</t>
        </is>
      </c>
      <c r="C156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0" s="2" t="inlineStr">
        <is>
          <t>Hello! How can we help you?  Report وزباله و بنت تسال و تشرد : 65691000   ‫أُرسلت من الـ iPhone‬</t>
        </is>
      </c>
      <c r="E1560" s="4" t="inlineStr">
        <is>
          <t>65691000</t>
        </is>
      </c>
    </row>
    <row r="1561" ht="18" customHeight="1">
      <c r="A1561" s="5" t="inlineStr">
        <is>
          <t>Hn An &lt;aeaxn.22@gmail.com&gt;</t>
        </is>
      </c>
      <c r="B1561" s="6" t="inlineStr">
        <is>
          <t>aeaxn.22@gmail.com</t>
        </is>
      </c>
      <c r="C156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1" s="5" t="inlineStr">
        <is>
          <t>Hello! How can we help you?  Report وزباله و بنت تسال و تشرد : 65691000   ‫أُرسلت من الـ iPhone‬</t>
        </is>
      </c>
      <c r="E1561" s="7" t="inlineStr">
        <is>
          <t>65691000</t>
        </is>
      </c>
    </row>
    <row r="1562" ht="18" customHeight="1">
      <c r="A1562" s="2" t="inlineStr">
        <is>
          <t>Hn An &lt;aeaxn.22@gmail.com&gt;</t>
        </is>
      </c>
      <c r="B1562" s="3" t="inlineStr">
        <is>
          <t>aeaxn.22@gmail.com</t>
        </is>
      </c>
      <c r="C156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2" s="2" t="inlineStr">
        <is>
          <t>Hello! How can we help you?  Report وزباله و بنت تسال و تشرد : 65691000   ‫أُرسلت من الـ iPhone‬</t>
        </is>
      </c>
      <c r="E1562" s="4" t="inlineStr">
        <is>
          <t>65691000</t>
        </is>
      </c>
    </row>
    <row r="1563" ht="18" customHeight="1">
      <c r="A1563" s="5" t="inlineStr">
        <is>
          <t>Hn An &lt;aeaxn.22@gmail.com&gt;</t>
        </is>
      </c>
      <c r="B1563" s="6" t="inlineStr">
        <is>
          <t>aeaxn.22@gmail.com</t>
        </is>
      </c>
      <c r="C156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3" s="5" t="inlineStr">
        <is>
          <t>Hello! How can we help you?  Report وزباله و بنت تسال و تشرد : 65691000   ‫أُرسلت من الـ iPhone‬</t>
        </is>
      </c>
      <c r="E1563" s="7" t="inlineStr">
        <is>
          <t>65691000</t>
        </is>
      </c>
    </row>
    <row r="1564" ht="18" customHeight="1">
      <c r="A1564" s="2" t="inlineStr">
        <is>
          <t>Hn An &lt;aeaxn.22@gmail.com&gt;</t>
        </is>
      </c>
      <c r="B1564" s="3" t="inlineStr">
        <is>
          <t>aeaxn.22@gmail.com</t>
        </is>
      </c>
      <c r="C156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4" s="2" t="inlineStr">
        <is>
          <t>Hello! How can we help you?  Report وزباله و بنت تسال و تشرد : 65691000   ‫أُرسلت من الـ iPhone‬</t>
        </is>
      </c>
      <c r="E1564" s="4" t="inlineStr">
        <is>
          <t>65691000</t>
        </is>
      </c>
    </row>
    <row r="1565" ht="18" customHeight="1">
      <c r="A1565" s="5" t="inlineStr">
        <is>
          <t>Hn An &lt;aeaxn.22@gmail.com&gt;</t>
        </is>
      </c>
      <c r="B1565" s="6" t="inlineStr">
        <is>
          <t>aeaxn.22@gmail.com</t>
        </is>
      </c>
      <c r="C156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5" s="5" t="inlineStr">
        <is>
          <t>Hello! How can we help you?  Report وزباله و بنت تسال و تشرد : 65691000   ‫أُرسلت من الـ iPhone‬</t>
        </is>
      </c>
      <c r="E1565" s="7" t="inlineStr">
        <is>
          <t>65691000</t>
        </is>
      </c>
    </row>
    <row r="1566" ht="18" customHeight="1">
      <c r="A1566" s="2" t="inlineStr">
        <is>
          <t>Hn An &lt;aeaxn.22@gmail.com&gt;</t>
        </is>
      </c>
      <c r="B1566" s="3" t="inlineStr">
        <is>
          <t>aeaxn.22@gmail.com</t>
        </is>
      </c>
      <c r="C156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6" s="2" t="inlineStr">
        <is>
          <t>Hello! How can we help you?  Report وزباله و بنت تسال و تشرد : 65691000   ‫أُرسلت من الـ iPhone‬</t>
        </is>
      </c>
      <c r="E1566" s="4" t="inlineStr">
        <is>
          <t>65691000</t>
        </is>
      </c>
    </row>
    <row r="1567" ht="18" customHeight="1">
      <c r="A1567" s="5" t="inlineStr">
        <is>
          <t>Hn An &lt;aeaxn.22@gmail.com&gt;</t>
        </is>
      </c>
      <c r="B1567" s="6" t="inlineStr">
        <is>
          <t>aeaxn.22@gmail.com</t>
        </is>
      </c>
      <c r="C156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7" s="5" t="inlineStr">
        <is>
          <t>Hello! How can we help you?  Report وزباله و بنت تسال و تشرد : 65691000   ‫أُرسلت من الـ iPhone‬</t>
        </is>
      </c>
      <c r="E1567" s="7" t="inlineStr">
        <is>
          <t>65691000</t>
        </is>
      </c>
    </row>
    <row r="1568" ht="18" customHeight="1">
      <c r="A1568" s="2" t="inlineStr">
        <is>
          <t>Hn An &lt;aeaxn.22@gmail.com&gt;</t>
        </is>
      </c>
      <c r="B1568" s="3" t="inlineStr">
        <is>
          <t>aeaxn.22@gmail.com</t>
        </is>
      </c>
      <c r="C156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8" s="2" t="inlineStr">
        <is>
          <t>Hello! How can we help you?  Report وزباله و بنت تسال و تشرد : 65691000   ‫أُرسلت من الـ iPhone‬</t>
        </is>
      </c>
      <c r="E1568" s="4" t="inlineStr">
        <is>
          <t>65691000</t>
        </is>
      </c>
    </row>
    <row r="1569" ht="18" customHeight="1">
      <c r="A1569" s="5" t="inlineStr">
        <is>
          <t>Hn An &lt;aeaxn.22@gmail.com&gt;</t>
        </is>
      </c>
      <c r="B1569" s="6" t="inlineStr">
        <is>
          <t>aeaxn.22@gmail.com</t>
        </is>
      </c>
      <c r="C156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69" s="5" t="inlineStr">
        <is>
          <t>Hello! How can we help you?  Report وزباله و بنت تسال و تشرد : 65691000   ‫أُرسلت من الـ iPhone‬</t>
        </is>
      </c>
      <c r="E1569" s="7" t="inlineStr">
        <is>
          <t>65691000</t>
        </is>
      </c>
    </row>
    <row r="1570" ht="18" customHeight="1">
      <c r="A1570" s="2" t="inlineStr">
        <is>
          <t>Hn An &lt;aeaxn.22@gmail.com&gt;</t>
        </is>
      </c>
      <c r="B1570" s="3" t="inlineStr">
        <is>
          <t>aeaxn.22@gmail.com</t>
        </is>
      </c>
      <c r="C157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0" s="2" t="inlineStr">
        <is>
          <t>Hello! How can we help you?  Report وزباله و بنت تسال و تشرد : 65691000   ‫أُرسلت من الـ iPhone‬</t>
        </is>
      </c>
      <c r="E1570" s="4" t="inlineStr">
        <is>
          <t>65691000</t>
        </is>
      </c>
    </row>
    <row r="1571" ht="18" customHeight="1">
      <c r="A1571" s="5" t="inlineStr">
        <is>
          <t>Hn An &lt;aeaxn.22@gmail.com&gt;</t>
        </is>
      </c>
      <c r="B1571" s="6" t="inlineStr">
        <is>
          <t>aeaxn.22@gmail.com</t>
        </is>
      </c>
      <c r="C157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1" s="5" t="inlineStr">
        <is>
          <t>Hello! How can we help you?  Report وزباله و بنت تسال و تشرد : 65691000   ‫أُرسلت من الـ iPhone‬</t>
        </is>
      </c>
      <c r="E1571" s="7" t="inlineStr">
        <is>
          <t>65691000</t>
        </is>
      </c>
    </row>
    <row r="1572" ht="18" customHeight="1">
      <c r="A1572" s="2" t="inlineStr">
        <is>
          <t>Hn An &lt;aeaxn.22@gmail.com&gt;</t>
        </is>
      </c>
      <c r="B1572" s="3" t="inlineStr">
        <is>
          <t>aeaxn.22@gmail.com</t>
        </is>
      </c>
      <c r="C157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2" s="2" t="inlineStr">
        <is>
          <t>Hello! How can we help you?  Report وزباله و بنت تسال و تشرد : 65691000   ‫أُرسلت من الـ iPhone‬</t>
        </is>
      </c>
      <c r="E1572" s="4" t="inlineStr">
        <is>
          <t>65691000</t>
        </is>
      </c>
    </row>
    <row r="1573" ht="18" customHeight="1">
      <c r="A1573" s="5" t="inlineStr">
        <is>
          <t>Hn An &lt;aeaxn.22@gmail.com&gt;</t>
        </is>
      </c>
      <c r="B1573" s="6" t="inlineStr">
        <is>
          <t>aeaxn.22@gmail.com</t>
        </is>
      </c>
      <c r="C157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3" s="5" t="inlineStr">
        <is>
          <t>Hello! How can we help you?  Report وزباله و بنت تسال و تشرد : 65691000   ‫أُرسلت من الـ iPhone‬</t>
        </is>
      </c>
      <c r="E1573" s="7" t="inlineStr">
        <is>
          <t>65691000</t>
        </is>
      </c>
    </row>
    <row r="1574" ht="18" customHeight="1">
      <c r="A1574" s="2" t="inlineStr">
        <is>
          <t>Hn An &lt;aeaxn.22@gmail.com&gt;</t>
        </is>
      </c>
      <c r="B1574" s="3" t="inlineStr">
        <is>
          <t>aeaxn.22@gmail.com</t>
        </is>
      </c>
      <c r="C157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4" s="2" t="inlineStr">
        <is>
          <t>Hello! How can we help you?  Report وزباله و بنت تسال و تشرد : 65691000   ‫أُرسلت من الـ iPhone‬</t>
        </is>
      </c>
      <c r="E1574" s="4" t="inlineStr">
        <is>
          <t>65691000</t>
        </is>
      </c>
    </row>
    <row r="1575" ht="18" customHeight="1">
      <c r="A1575" s="5" t="inlineStr">
        <is>
          <t>Hn An &lt;aeaxn.22@gmail.com&gt;</t>
        </is>
      </c>
      <c r="B1575" s="6" t="inlineStr">
        <is>
          <t>aeaxn.22@gmail.com</t>
        </is>
      </c>
      <c r="C157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5" s="5" t="inlineStr">
        <is>
          <t>Hello! How can we help you?  Report وزباله و بنت تسال و تشرد : 65691000   ‫أُرسلت من الـ iPhone‬</t>
        </is>
      </c>
      <c r="E1575" s="7" t="inlineStr">
        <is>
          <t>65691000</t>
        </is>
      </c>
    </row>
    <row r="1576" ht="18" customHeight="1">
      <c r="A1576" s="2" t="inlineStr">
        <is>
          <t>Hn An &lt;aeaxn.22@gmail.com&gt;</t>
        </is>
      </c>
      <c r="B1576" s="3" t="inlineStr">
        <is>
          <t>aeaxn.22@gmail.com</t>
        </is>
      </c>
      <c r="C157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6" s="2" t="inlineStr">
        <is>
          <t>Hello! How can we help you?  Report وزباله و بنت تسال و تشرد : 65691000   ‫أُرسلت من الـ iPhone‬</t>
        </is>
      </c>
      <c r="E1576" s="4" t="inlineStr">
        <is>
          <t>65691000</t>
        </is>
      </c>
    </row>
    <row r="1577" ht="18" customHeight="1">
      <c r="A1577" s="5" t="inlineStr">
        <is>
          <t>Hn An &lt;aeaxn.22@gmail.com&gt;</t>
        </is>
      </c>
      <c r="B1577" s="6" t="inlineStr">
        <is>
          <t>aeaxn.22@gmail.com</t>
        </is>
      </c>
      <c r="C157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7" s="5" t="inlineStr">
        <is>
          <t>Hello! How can we help you?  Report وزباله و بنت تسال و تشرد : 65691000   ‫أُرسلت من الـ iPhone‬</t>
        </is>
      </c>
      <c r="E1577" s="7" t="inlineStr">
        <is>
          <t>65691000</t>
        </is>
      </c>
    </row>
    <row r="1578" ht="18" customHeight="1">
      <c r="A1578" s="2" t="inlineStr">
        <is>
          <t>Hn An &lt;aeaxn.22@gmail.com&gt;</t>
        </is>
      </c>
      <c r="B1578" s="3" t="inlineStr">
        <is>
          <t>aeaxn.22@gmail.com</t>
        </is>
      </c>
      <c r="C157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8" s="2" t="inlineStr">
        <is>
          <t>Hello! How can we help you?  Report وزباله و بنت تسال و تشرد : 65691000   ‫أُرسلت من الـ iPhone‬</t>
        </is>
      </c>
      <c r="E1578" s="4" t="inlineStr">
        <is>
          <t>65691000</t>
        </is>
      </c>
    </row>
    <row r="1579" ht="18" customHeight="1">
      <c r="A1579" s="5" t="inlineStr">
        <is>
          <t>Hn An &lt;aeaxn.22@gmail.com&gt;</t>
        </is>
      </c>
      <c r="B1579" s="6" t="inlineStr">
        <is>
          <t>aeaxn.22@gmail.com</t>
        </is>
      </c>
      <c r="C157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79" s="5" t="inlineStr">
        <is>
          <t>Hello! How can we help you?  Report وزباله و بنت تسال و تشرد : 65691000   ‫أُرسلت من الـ iPhone‬</t>
        </is>
      </c>
      <c r="E1579" s="7" t="inlineStr">
        <is>
          <t>65691000</t>
        </is>
      </c>
    </row>
    <row r="1580" ht="18" customHeight="1">
      <c r="A1580" s="2" t="inlineStr">
        <is>
          <t>Hn An &lt;aeaxn.22@gmail.com&gt;</t>
        </is>
      </c>
      <c r="B1580" s="3" t="inlineStr">
        <is>
          <t>aeaxn.22@gmail.com</t>
        </is>
      </c>
      <c r="C158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0" s="2" t="inlineStr">
        <is>
          <t>Hello! How can we help you?  Report وزباله و بنت تسال و تشرد : 65691000   ‫أُرسلت من الـ iPhone‬</t>
        </is>
      </c>
      <c r="E1580" s="4" t="inlineStr">
        <is>
          <t>65691000</t>
        </is>
      </c>
    </row>
    <row r="1581" ht="18" customHeight="1">
      <c r="A1581" s="5" t="inlineStr">
        <is>
          <t>Hn An &lt;aeaxn.22@gmail.com&gt;</t>
        </is>
      </c>
      <c r="B1581" s="6" t="inlineStr">
        <is>
          <t>aeaxn.22@gmail.com</t>
        </is>
      </c>
      <c r="C158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1" s="5" t="inlineStr">
        <is>
          <t>Hello! How can we help you?  Report وزباله و بنت تسال و تشرد : 65691000   ‫أُرسلت من الـ iPhone‬</t>
        </is>
      </c>
      <c r="E1581" s="7" t="inlineStr">
        <is>
          <t>65691000</t>
        </is>
      </c>
    </row>
    <row r="1582" ht="18" customHeight="1">
      <c r="A1582" s="2" t="inlineStr">
        <is>
          <t>Hn An &lt;aeaxn.22@gmail.com&gt;</t>
        </is>
      </c>
      <c r="B1582" s="3" t="inlineStr">
        <is>
          <t>aeaxn.22@gmail.com</t>
        </is>
      </c>
      <c r="C158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2" s="2" t="inlineStr">
        <is>
          <t>Hello! How can we help you?  Report وزباله و بنت تسال و تشرد : 65691000   ‫أُرسلت من الـ iPhone‬</t>
        </is>
      </c>
      <c r="E1582" s="4" t="inlineStr">
        <is>
          <t>65691000</t>
        </is>
      </c>
    </row>
    <row r="1583" ht="18" customHeight="1">
      <c r="A1583" s="5" t="inlineStr">
        <is>
          <t>Hn An &lt;aeaxn.22@gmail.com&gt;</t>
        </is>
      </c>
      <c r="B1583" s="6" t="inlineStr">
        <is>
          <t>aeaxn.22@gmail.com</t>
        </is>
      </c>
      <c r="C158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3" s="5" t="inlineStr">
        <is>
          <t>Hello! How can we help you?  Report وزباله و بنت تسال و تشرد : 65691000   ‫أُرسلت من الـ iPhone‬</t>
        </is>
      </c>
      <c r="E1583" s="7" t="inlineStr">
        <is>
          <t>65691000</t>
        </is>
      </c>
    </row>
    <row r="1584" ht="18" customHeight="1">
      <c r="A1584" s="2" t="inlineStr">
        <is>
          <t>Hn An &lt;aeaxn.22@gmail.com&gt;</t>
        </is>
      </c>
      <c r="B1584" s="3" t="inlineStr">
        <is>
          <t>aeaxn.22@gmail.com</t>
        </is>
      </c>
      <c r="C158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4" s="2" t="inlineStr">
        <is>
          <t>Hello! How can we help you?  Report وزباله و بنت تسال و تشرد : 65691000   ‫أُرسلت من الـ iPhone‬</t>
        </is>
      </c>
      <c r="E1584" s="4" t="inlineStr">
        <is>
          <t>65691000</t>
        </is>
      </c>
    </row>
    <row r="1585" ht="18" customHeight="1">
      <c r="A1585" s="5" t="inlineStr">
        <is>
          <t>Hn An &lt;aeaxn.22@gmail.com&gt;</t>
        </is>
      </c>
      <c r="B1585" s="6" t="inlineStr">
        <is>
          <t>aeaxn.22@gmail.com</t>
        </is>
      </c>
      <c r="C158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5" s="5" t="inlineStr">
        <is>
          <t>Hello! How can we help you?  Report وزباله و بنت تسال و تشرد : 65691000   ‫أُرسلت من الـ iPhone‬</t>
        </is>
      </c>
      <c r="E1585" s="7" t="inlineStr">
        <is>
          <t>65691000</t>
        </is>
      </c>
    </row>
    <row r="1586" ht="18" customHeight="1">
      <c r="A1586" s="2" t="inlineStr">
        <is>
          <t>Hn An &lt;aeaxn.22@gmail.com&gt;</t>
        </is>
      </c>
      <c r="B1586" s="3" t="inlineStr">
        <is>
          <t>aeaxn.22@gmail.com</t>
        </is>
      </c>
      <c r="C158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6" s="2" t="inlineStr">
        <is>
          <t>Hello! How can we help you?  Report وزباله و بنت تسال و تشرد : 65691000   ‫أُرسلت من الـ iPhone‬</t>
        </is>
      </c>
      <c r="E1586" s="4" t="inlineStr">
        <is>
          <t>65691000</t>
        </is>
      </c>
    </row>
    <row r="1587" ht="18" customHeight="1">
      <c r="A1587" s="5" t="inlineStr">
        <is>
          <t>Hn An &lt;aeaxn.22@gmail.com&gt;</t>
        </is>
      </c>
      <c r="B1587" s="6" t="inlineStr">
        <is>
          <t>aeaxn.22@gmail.com</t>
        </is>
      </c>
      <c r="C158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7" s="5" t="inlineStr">
        <is>
          <t>Hello! How can we help you?  Report وزباله و بنت تسال و تشرد : 65691000   ‫أُرسلت من الـ iPhone‬</t>
        </is>
      </c>
      <c r="E1587" s="7" t="inlineStr">
        <is>
          <t>65691000</t>
        </is>
      </c>
    </row>
    <row r="1588" ht="18" customHeight="1">
      <c r="A1588" s="2" t="inlineStr">
        <is>
          <t>Hn An &lt;aeaxn.22@gmail.com&gt;</t>
        </is>
      </c>
      <c r="B1588" s="3" t="inlineStr">
        <is>
          <t>aeaxn.22@gmail.com</t>
        </is>
      </c>
      <c r="C158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8" s="2" t="inlineStr">
        <is>
          <t>Hello! How can we help you?  Report وزباله و بنت تسال و تشرد : 65691000   ‫أُرسلت من الـ iPhone‬</t>
        </is>
      </c>
      <c r="E1588" s="4" t="inlineStr">
        <is>
          <t>65691000</t>
        </is>
      </c>
    </row>
    <row r="1589" ht="18" customHeight="1">
      <c r="A1589" s="5" t="inlineStr">
        <is>
          <t>Hn An &lt;aeaxn.22@gmail.com&gt;</t>
        </is>
      </c>
      <c r="B1589" s="6" t="inlineStr">
        <is>
          <t>aeaxn.22@gmail.com</t>
        </is>
      </c>
      <c r="C158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89" s="5" t="inlineStr">
        <is>
          <t>Hello! How can we help you?  Report وزباله و بنت تسال و تشرد : 65691000   ‫أُرسلت من الـ iPhone‬</t>
        </is>
      </c>
      <c r="E1589" s="7" t="inlineStr">
        <is>
          <t>65691000</t>
        </is>
      </c>
    </row>
    <row r="1590" ht="18" customHeight="1">
      <c r="A1590" s="2" t="inlineStr">
        <is>
          <t>Hn An &lt;aeaxn.22@gmail.com&gt;</t>
        </is>
      </c>
      <c r="B1590" s="3" t="inlineStr">
        <is>
          <t>aeaxn.22@gmail.com</t>
        </is>
      </c>
      <c r="C159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0" s="2" t="inlineStr">
        <is>
          <t>Hello! How can we help you?  Report وزباله و بنت تسال و تشرد : 65691000   ‫أُرسلت من الـ iPhone‬</t>
        </is>
      </c>
      <c r="E1590" s="4" t="inlineStr">
        <is>
          <t>65691000</t>
        </is>
      </c>
    </row>
    <row r="1591" ht="18" customHeight="1">
      <c r="A1591" s="5" t="inlineStr">
        <is>
          <t>Hn An &lt;aeaxn.22@gmail.com&gt;</t>
        </is>
      </c>
      <c r="B1591" s="6" t="inlineStr">
        <is>
          <t>aeaxn.22@gmail.com</t>
        </is>
      </c>
      <c r="C159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1" s="5" t="inlineStr">
        <is>
          <t>Hello! How can we help you?  Report وزباله و بنت تسال و تشرد : 65691000   ‫أُرسلت من الـ iPhone‬</t>
        </is>
      </c>
      <c r="E1591" s="7" t="inlineStr">
        <is>
          <t>65691000</t>
        </is>
      </c>
    </row>
    <row r="1592" ht="18" customHeight="1">
      <c r="A1592" s="2" t="inlineStr">
        <is>
          <t>Hn An &lt;aeaxn.22@gmail.com&gt;</t>
        </is>
      </c>
      <c r="B1592" s="3" t="inlineStr">
        <is>
          <t>aeaxn.22@gmail.com</t>
        </is>
      </c>
      <c r="C159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2" s="2" t="inlineStr">
        <is>
          <t>Hello! How can we help you?  Report وزباله و بنت تسال و تشرد : 65691000   ‫أُرسلت من الـ iPhone‬</t>
        </is>
      </c>
      <c r="E1592" s="4" t="inlineStr">
        <is>
          <t>65691000</t>
        </is>
      </c>
    </row>
    <row r="1593" ht="18" customHeight="1">
      <c r="A1593" s="5" t="inlineStr">
        <is>
          <t>Hn An &lt;aeaxn.22@gmail.com&gt;</t>
        </is>
      </c>
      <c r="B1593" s="6" t="inlineStr">
        <is>
          <t>aeaxn.22@gmail.com</t>
        </is>
      </c>
      <c r="C159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3" s="5" t="inlineStr">
        <is>
          <t>Hello! How can we help you?  Report وزباله و بنت تسال و تشرد : 65691000   ‫أُرسلت من الـ iPhone‬</t>
        </is>
      </c>
      <c r="E1593" s="7" t="inlineStr">
        <is>
          <t>65691000</t>
        </is>
      </c>
    </row>
    <row r="1594" ht="18" customHeight="1">
      <c r="A1594" s="2" t="inlineStr">
        <is>
          <t>Hn An &lt;aeaxn.22@gmail.com&gt;</t>
        </is>
      </c>
      <c r="B1594" s="3" t="inlineStr">
        <is>
          <t>aeaxn.22@gmail.com</t>
        </is>
      </c>
      <c r="C159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4" s="2" t="inlineStr">
        <is>
          <t>Hello! How can we help you?  Report وزباله و بنت تسال و تشرد : 65691000   ‫أُرسلت من الـ iPhone‬</t>
        </is>
      </c>
      <c r="E1594" s="4" t="inlineStr">
        <is>
          <t>65691000</t>
        </is>
      </c>
    </row>
    <row r="1595" ht="18" customHeight="1">
      <c r="A1595" s="5" t="inlineStr">
        <is>
          <t>Hn An &lt;aeaxn.22@gmail.com&gt;</t>
        </is>
      </c>
      <c r="B1595" s="6" t="inlineStr">
        <is>
          <t>aeaxn.22@gmail.com</t>
        </is>
      </c>
      <c r="C159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5" s="5" t="inlineStr">
        <is>
          <t>Hello! How can we help you?  Report وزباله و بنت تسال و تشرد : 65691000   ‫أُرسلت من الـ iPhone‬</t>
        </is>
      </c>
      <c r="E1595" s="7" t="inlineStr">
        <is>
          <t>65691000</t>
        </is>
      </c>
    </row>
    <row r="1596" ht="18" customHeight="1">
      <c r="A1596" s="2" t="inlineStr">
        <is>
          <t>Hn An &lt;aeaxn.22@gmail.com&gt;</t>
        </is>
      </c>
      <c r="B1596" s="3" t="inlineStr">
        <is>
          <t>aeaxn.22@gmail.com</t>
        </is>
      </c>
      <c r="C159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6" s="2" t="inlineStr">
        <is>
          <t>Hello! How can we help you?  Report وزباله و بنت تسال و تشرد : 65691000   ‫أُرسلت من الـ iPhone‬</t>
        </is>
      </c>
      <c r="E1596" s="4" t="inlineStr">
        <is>
          <t>65691000</t>
        </is>
      </c>
    </row>
    <row r="1597" ht="18" customHeight="1">
      <c r="A1597" s="5" t="inlineStr">
        <is>
          <t>Hn An &lt;aeaxn.22@gmail.com&gt;</t>
        </is>
      </c>
      <c r="B1597" s="6" t="inlineStr">
        <is>
          <t>aeaxn.22@gmail.com</t>
        </is>
      </c>
      <c r="C159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7" s="5" t="inlineStr">
        <is>
          <t>Hello! How can we help you?  Report وزباله و بنت تسال و تشرد : 65691000   ‫أُرسلت من الـ iPhone‬</t>
        </is>
      </c>
      <c r="E1597" s="7" t="inlineStr">
        <is>
          <t>65691000</t>
        </is>
      </c>
    </row>
    <row r="1598" ht="18" customHeight="1">
      <c r="A1598" s="2" t="inlineStr">
        <is>
          <t>Hn An &lt;aeaxn.22@gmail.com&gt;</t>
        </is>
      </c>
      <c r="B1598" s="3" t="inlineStr">
        <is>
          <t>aeaxn.22@gmail.com</t>
        </is>
      </c>
      <c r="C159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8" s="2" t="inlineStr">
        <is>
          <t>Hello! How can we help you?  Report وزباله و بنت تسال و تشرد : 65691000   ‫أُرسلت من الـ iPhone‬</t>
        </is>
      </c>
      <c r="E1598" s="4" t="inlineStr">
        <is>
          <t>65691000</t>
        </is>
      </c>
    </row>
    <row r="1599" ht="18" customHeight="1">
      <c r="A1599" s="5" t="inlineStr">
        <is>
          <t>Hn An &lt;aeaxn.22@gmail.com&gt;</t>
        </is>
      </c>
      <c r="B1599" s="6" t="inlineStr">
        <is>
          <t>aeaxn.22@gmail.com</t>
        </is>
      </c>
      <c r="C159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599" s="5" t="inlineStr">
        <is>
          <t>Hello! How can we help you?  Report وزباله و بنت تسال و تشرد : 65691000   ‫أُرسلت من الـ iPhone‬</t>
        </is>
      </c>
      <c r="E1599" s="7" t="inlineStr">
        <is>
          <t>65691000</t>
        </is>
      </c>
    </row>
    <row r="1600" ht="18" customHeight="1">
      <c r="A1600" s="2" t="inlineStr">
        <is>
          <t>Hn An &lt;aeaxn.22@gmail.com&gt;</t>
        </is>
      </c>
      <c r="B1600" s="3" t="inlineStr">
        <is>
          <t>aeaxn.22@gmail.com</t>
        </is>
      </c>
      <c r="C160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0" s="2" t="inlineStr">
        <is>
          <t>Hello! How can we help you?  Report وزباله و بنت تسال و تشرد : 65691000   ‫أُرسلت من الـ iPhone‬</t>
        </is>
      </c>
      <c r="E1600" s="4" t="inlineStr">
        <is>
          <t>65691000</t>
        </is>
      </c>
    </row>
    <row r="1601" ht="18" customHeight="1">
      <c r="A1601" s="5" t="inlineStr">
        <is>
          <t>Hn An &lt;aeaxn.22@gmail.com&gt;</t>
        </is>
      </c>
      <c r="B1601" s="6" t="inlineStr">
        <is>
          <t>aeaxn.22@gmail.com</t>
        </is>
      </c>
      <c r="C160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1" s="5" t="inlineStr">
        <is>
          <t>Hello! How can we help you?  Report وزباله و بنت تسال و تشرد : 65691000   ‫أُرسلت من الـ iPhone‬</t>
        </is>
      </c>
      <c r="E1601" s="7" t="inlineStr">
        <is>
          <t>65691000</t>
        </is>
      </c>
    </row>
    <row r="1602" ht="18" customHeight="1">
      <c r="A1602" s="2" t="inlineStr">
        <is>
          <t>Al Anezi &lt;eyada_anezi@yahoo.com&gt;</t>
        </is>
      </c>
      <c r="B1602" s="3" t="inlineStr">
        <is>
          <t>eyada_anezi@yahoo.com</t>
        </is>
      </c>
      <c r="C1602" s="2">
        <f>?utf-8?Q?Re:_65691000_=D8=AA=D8=A8=D9=84=D9=8A=D8=BA_=D8=B9?=  =?utf-8?Q?=D9=86_=D9=85=D8=B3=D9=8A=D8=A6?=</f>
        <v/>
      </c>
      <c r="D1602" s="2" t="inlineStr">
        <is>
          <t xml:space="preserve">ارجوا ازالة الرقم المسيئ اللي موجود في الاميل تحت  من حسابي، إلى الان الرقم موجود   &gt; On 28 Mar 2025, at 1:32 AM, Al Anezi &lt;eyada_anezi@yahoo.com&gt; wrote: &gt;  &gt; ﻿ &gt; Regards, &gt;  &gt; Eyada Al-anezi &gt; (Sent From My iPhone) &gt;  &gt;&gt;&gt; On 21 Mar 2025, at 10:44 AM, Al Anezi &lt;eyada_anezi@yahoo.com&gt; wrote: &gt;&gt;&gt;  &gt;&gt; ﻿ &gt;&gt; Repor وزبالة وبنت تسال وتشرد - : 65691000 &gt;&gt;&gt; ارجو ازالة هذى  الرقم أو الاسم من البحث على حسابي لما في اسائه لي ولي عائلتي.  &gt;&gt;&gt;  &gt;&gt; شكرا مقدما  &gt;&gt; صاحبت الحساب حنان ام نايف &gt;&gt;  </t>
        </is>
      </c>
      <c r="E1602" s="4" t="inlineStr">
        <is>
          <t>65691000</t>
        </is>
      </c>
    </row>
    <row r="1603" ht="18" customHeight="1">
      <c r="A1603" s="5" t="inlineStr">
        <is>
          <t>Hn An &lt;aeaxn.22@gmail.com&gt;</t>
        </is>
      </c>
      <c r="B1603" s="6" t="inlineStr">
        <is>
          <t>aeaxn.22@gmail.com</t>
        </is>
      </c>
      <c r="C160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3" s="5" t="inlineStr">
        <is>
          <t>Hello! How can we help you?  Report وزباله و بنت تسال و تشرد : 65691000   ‫أُرسلت من الـ iPhone‬</t>
        </is>
      </c>
      <c r="E1603" s="7" t="inlineStr">
        <is>
          <t>65691000</t>
        </is>
      </c>
    </row>
    <row r="1604" ht="18" customHeight="1">
      <c r="A1604" s="2" t="inlineStr">
        <is>
          <t>Hn An &lt;aeaxn.22@gmail.com&gt;</t>
        </is>
      </c>
      <c r="B1604" s="3" t="inlineStr">
        <is>
          <t>aeaxn.22@gmail.com</t>
        </is>
      </c>
      <c r="C1604"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4" s="2" t="inlineStr">
        <is>
          <t>Hello! How can we help you?  Report وزباله و بنت تسال و تشرد : 65691000   ‫أُرسلت من الـ iPhone‬</t>
        </is>
      </c>
      <c r="E1604" s="4" t="inlineStr">
        <is>
          <t>65691000</t>
        </is>
      </c>
    </row>
    <row r="1605" ht="18" customHeight="1">
      <c r="A1605" s="5" t="inlineStr">
        <is>
          <t>Hn An &lt;aeaxn.22@gmail.com&gt;</t>
        </is>
      </c>
      <c r="B1605" s="6" t="inlineStr">
        <is>
          <t>aeaxn.22@gmail.com</t>
        </is>
      </c>
      <c r="C160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5" s="5" t="inlineStr">
        <is>
          <t>Hello! How can we help you?  Report وزباله و بنت تسال و تشرد : 65691000   ‫أُرسلت من الـ iPhone‬</t>
        </is>
      </c>
      <c r="E1605" s="7" t="inlineStr">
        <is>
          <t>65691000</t>
        </is>
      </c>
    </row>
    <row r="1606" ht="18" customHeight="1">
      <c r="A1606" s="2" t="inlineStr">
        <is>
          <t>Hn An &lt;aeaxn.22@gmail.com&gt;</t>
        </is>
      </c>
      <c r="B1606" s="3" t="inlineStr">
        <is>
          <t>aeaxn.22@gmail.com</t>
        </is>
      </c>
      <c r="C160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6" s="2" t="inlineStr">
        <is>
          <t>Hello! How can we help you?  Report وزباله و بنت تسال و تشرد : 65691000   ‫أُرسلت من الـ iPhone‬</t>
        </is>
      </c>
      <c r="E1606" s="4" t="inlineStr">
        <is>
          <t>65691000</t>
        </is>
      </c>
    </row>
    <row r="1607" ht="18" customHeight="1">
      <c r="A1607" s="5" t="inlineStr">
        <is>
          <t>Hn An &lt;aeaxn.22@gmail.com&gt;</t>
        </is>
      </c>
      <c r="B1607" s="6" t="inlineStr">
        <is>
          <t>aeaxn.22@gmail.com</t>
        </is>
      </c>
      <c r="C160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7" s="5" t="inlineStr">
        <is>
          <t>Hello! How can we help you?  Report وزباله و بنت تسال و تشرد : 65691000   ‫أُرسلت من الـ iPhone‬</t>
        </is>
      </c>
      <c r="E1607" s="7" t="inlineStr">
        <is>
          <t>65691000</t>
        </is>
      </c>
    </row>
    <row r="1608" ht="18" customHeight="1">
      <c r="A1608" s="2" t="inlineStr">
        <is>
          <t>Hn An &lt;aeaxn.22@gmail.com&gt;</t>
        </is>
      </c>
      <c r="B1608" s="3" t="inlineStr">
        <is>
          <t>aeaxn.22@gmail.com</t>
        </is>
      </c>
      <c r="C1608"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8" s="2" t="inlineStr">
        <is>
          <t>Hello! How can we help you?  Report وزباله و بنت تسال و تشرد : 65691000   ‫أُرسلت من الـ iPhone‬</t>
        </is>
      </c>
      <c r="E1608" s="4" t="inlineStr">
        <is>
          <t>65691000</t>
        </is>
      </c>
    </row>
    <row r="1609" ht="18" customHeight="1">
      <c r="A1609" s="5" t="inlineStr">
        <is>
          <t>Hn An &lt;aeaxn.22@gmail.com&gt;</t>
        </is>
      </c>
      <c r="B1609" s="6" t="inlineStr">
        <is>
          <t>aeaxn.22@gmail.com</t>
        </is>
      </c>
      <c r="C160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=?utf-8?B?LiDZiNi02YPYsdin2YsgINi52YTZiSDYp9mE2LHZgtmFIDY1Njkx?=  =?utf-8?B?MDAwICDYp9mE2KfYs9in2KbZhyDZh9mKINio2YbYqiDYstio2Kc=?=  =?utf-8?B?2YTZhw==?=</f>
        <v/>
      </c>
      <c r="D1609" s="5" t="inlineStr">
        <is>
          <t>Hello! How can we help you?  Report وزباله و بنت تسال و تشرد : 65691000   ‫أُرسلت من الـ iPhone‬</t>
        </is>
      </c>
      <c r="E1609" s="7" t="inlineStr">
        <is>
          <t>65691000</t>
        </is>
      </c>
    </row>
    <row r="1610" ht="18" customHeight="1">
      <c r="A1610" s="2" t="inlineStr">
        <is>
          <t>Hn An &lt;aeaxn.22@gmail.com&gt;</t>
        </is>
      </c>
      <c r="B1610" s="3" t="inlineStr">
        <is>
          <t>aeaxn.22@gmail.com</t>
        </is>
      </c>
      <c r="C161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0" s="2" t="inlineStr">
        <is>
          <t>﻿ Hello! How can we help you?  Report وزباله و بنت تسال و تشرد : 65691000   ‫أُرسلت من الـ iPhone‬</t>
        </is>
      </c>
      <c r="E1610" s="4" t="inlineStr">
        <is>
          <t>65691000</t>
        </is>
      </c>
    </row>
    <row r="1611" ht="18" customHeight="1">
      <c r="A1611" s="5" t="inlineStr">
        <is>
          <t>Hn An &lt;aeaxn.22@gmail.com&gt;</t>
        </is>
      </c>
      <c r="B1611" s="6" t="inlineStr">
        <is>
          <t>aeaxn.22@gmail.com</t>
        </is>
      </c>
      <c r="C161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1" s="5" t="inlineStr">
        <is>
          <t>﻿ Hello! How can we help you?  Report وزباله و بنت تسال و تشرد : 65691000   ‫أُرسلت من الـ iPhone‬</t>
        </is>
      </c>
      <c r="E1611" s="7" t="inlineStr">
        <is>
          <t>65691000</t>
        </is>
      </c>
    </row>
    <row r="1612" ht="18" customHeight="1">
      <c r="A1612" s="2" t="inlineStr">
        <is>
          <t>Hn An &lt;aeaxn.22@gmail.com&gt;</t>
        </is>
      </c>
      <c r="B1612" s="3" t="inlineStr">
        <is>
          <t>aeaxn.22@gmail.com</t>
        </is>
      </c>
      <c r="C161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2" s="2" t="inlineStr">
        <is>
          <t>﻿ Hello! How can we help you?  Report وزباله و بنت تسال و تشرد : 65691000   ‫أُرسلت من الـ iPhone‬</t>
        </is>
      </c>
      <c r="E1612" s="4" t="inlineStr">
        <is>
          <t>65691000</t>
        </is>
      </c>
    </row>
    <row r="1613" ht="18" customHeight="1">
      <c r="A1613" s="5" t="inlineStr">
        <is>
          <t>Alanzi Alanzi &lt;awalanzii22@gmail.com&gt;</t>
        </is>
      </c>
      <c r="B1613" s="6" t="inlineStr">
        <is>
          <t>awalanzii22@gmail.com</t>
        </is>
      </c>
      <c r="C1613" s="5" t="inlineStr"/>
      <c r="D1613" s="5" t="inlineStr">
        <is>
          <t>Hello! How can we help you?  Report وزباله و بنت تسال و تشرد : 65691000   Sent from my iPhone</t>
        </is>
      </c>
      <c r="E1613" s="7" t="inlineStr">
        <is>
          <t>65691000</t>
        </is>
      </c>
    </row>
    <row r="1614" ht="18" customHeight="1">
      <c r="A1614" s="2" t="inlineStr">
        <is>
          <t>Alanzi Alanzi &lt;awalanzii22@gmail.com&gt;</t>
        </is>
      </c>
      <c r="B1614" s="3" t="inlineStr">
        <is>
          <t>awalanzii22@gmail.com</t>
        </is>
      </c>
      <c r="C1614" s="2" t="inlineStr"/>
      <c r="D1614" s="2" t="inlineStr">
        <is>
          <t>Hello! How can we help you?  Report وزباله و بنت تسال و تشرد : 65691000   Sent from my iPhone</t>
        </is>
      </c>
      <c r="E1614" s="4" t="inlineStr">
        <is>
          <t>65691000</t>
        </is>
      </c>
    </row>
    <row r="1615" ht="18" customHeight="1">
      <c r="A1615" s="5" t="inlineStr">
        <is>
          <t>Eyada Alanezi &lt;anezi8@icloud.com&gt;</t>
        </is>
      </c>
      <c r="B1615" s="6" t="inlineStr">
        <is>
          <t>anezi8@icloud.com</t>
        </is>
      </c>
      <c r="C1615" s="5" t="inlineStr"/>
      <c r="D1615" s="5" t="inlineStr">
        <is>
          <t>Hello! How can we help you?  Report وزباله و بنت تسال و تشرد : 65691000   Sent from my iPhone</t>
        </is>
      </c>
      <c r="E1615" s="7" t="inlineStr">
        <is>
          <t>65691000</t>
        </is>
      </c>
    </row>
    <row r="1616" ht="18" customHeight="1">
      <c r="A1616" s="2" t="inlineStr">
        <is>
          <t>Hn An &lt;aeaxn.22@gmail.com&gt;</t>
        </is>
      </c>
      <c r="B1616" s="3" t="inlineStr">
        <is>
          <t>aeaxn.22@gmail.com</t>
        </is>
      </c>
      <c r="C1616"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6" s="2" t="inlineStr">
        <is>
          <t>﻿ Hello! How can we help you?  Report وزباله و بنت تسال و تشرد : 65691000   ‫أُرسلت من الـ iPhone‬</t>
        </is>
      </c>
      <c r="E1616" s="4" t="inlineStr">
        <is>
          <t>65691000</t>
        </is>
      </c>
    </row>
    <row r="1617" ht="18" customHeight="1">
      <c r="A1617" s="5" t="inlineStr">
        <is>
          <t>Hn An &lt;aeaxn.22@gmail.com&gt;</t>
        </is>
      </c>
      <c r="B1617" s="6" t="inlineStr">
        <is>
          <t>aeaxn.22@gmail.com</t>
        </is>
      </c>
      <c r="C1617"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7" s="5" t="inlineStr">
        <is>
          <t>﻿ Hello! How can we help you?  Report وزباله و بنت تسال و تشرد : 65691000   ‫أُرسلت من الـ iPhone‬</t>
        </is>
      </c>
      <c r="E1617" s="7" t="inlineStr">
        <is>
          <t>65691000</t>
        </is>
      </c>
    </row>
    <row r="1618" ht="18" customHeight="1">
      <c r="A1618" s="2" t="inlineStr">
        <is>
          <t>Hn An &lt;aeaxn.22@gmail.com&gt;</t>
        </is>
      </c>
      <c r="B1618" s="3" t="inlineStr">
        <is>
          <t>aeaxn.22@gmail.com</t>
        </is>
      </c>
      <c r="C1618" s="2">
        <f>?utf-8?B?2KfZhNiz2YTYp9mFINmI2KfZhNix2K3ZhdmHLiDZhdmF2YPZhiA=?=  =?utf-8?B?2YXYs9itINin2YTYp9iz2KfYptmHINi52YTZiSDYp9mE2LHZgtmF?=  =?utf-8?B?IDY1NjkxMDAwINin2YTYp9iz2KfYptmHINmH2YouINio2YbYqiA=?=  =?utf-8?B?2LLYqNin2YTZhyDYqtiz2KfYptmEIA==?=</f>
        <v/>
      </c>
      <c r="D1618" s="2" t="inlineStr">
        <is>
          <t xml:space="preserve"> ‫أُرسلت من الـ iPhone‬</t>
        </is>
      </c>
      <c r="E1618" s="4" t="inlineStr"/>
    </row>
    <row r="1619" ht="18" customHeight="1">
      <c r="A1619" s="5" t="inlineStr">
        <is>
          <t>Hn An &lt;aeaxn.22@gmail.com&gt;</t>
        </is>
      </c>
      <c r="B1619" s="6" t="inlineStr">
        <is>
          <t>aeaxn.22@gmail.com</t>
        </is>
      </c>
      <c r="C1619"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19" s="5" t="inlineStr">
        <is>
          <t>Hello! How can we help you?  Report وزباله و بنت تسال و تشرد : 65691000   ‫أُرسلت من الـ iPhone‬</t>
        </is>
      </c>
      <c r="E1619" s="7" t="inlineStr">
        <is>
          <t>65691000</t>
        </is>
      </c>
    </row>
    <row r="1620" ht="18" customHeight="1">
      <c r="A1620" s="2" t="inlineStr">
        <is>
          <t>Hn An &lt;aeaxn.22@gmail.com&gt;</t>
        </is>
      </c>
      <c r="B1620" s="3" t="inlineStr">
        <is>
          <t>aeaxn.22@gmail.com</t>
        </is>
      </c>
      <c r="C1620"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0" s="2" t="inlineStr">
        <is>
          <t>Hello! How can we help you?  Report وزباله و بنت تسال و تشرد : 65691000   ‫أُرسلت من الـ iPhone‬</t>
        </is>
      </c>
      <c r="E1620" s="4" t="inlineStr">
        <is>
          <t>65691000</t>
        </is>
      </c>
    </row>
    <row r="1621" ht="18" customHeight="1">
      <c r="A1621" s="5" t="inlineStr">
        <is>
          <t>Hn An &lt;aeaxn.22@gmail.com&gt;</t>
        </is>
      </c>
      <c r="B1621" s="6" t="inlineStr">
        <is>
          <t>aeaxn.22@gmail.com</t>
        </is>
      </c>
      <c r="C1621"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1" s="5" t="inlineStr">
        <is>
          <t>Hello! How can we help you?  Report وزباله و بنت تسال و تشرد : 65691000   ‫أُرسلت من الـ iPhone‬</t>
        </is>
      </c>
      <c r="E1621" s="7" t="inlineStr">
        <is>
          <t>65691000</t>
        </is>
      </c>
    </row>
    <row r="1622" ht="18" customHeight="1">
      <c r="A1622" s="2" t="inlineStr">
        <is>
          <t>Hn An &lt;aeaxn.22@gmail.com&gt;</t>
        </is>
      </c>
      <c r="B1622" s="3" t="inlineStr">
        <is>
          <t>aeaxn.22@gmail.com</t>
        </is>
      </c>
      <c r="C1622" s="2">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2" s="2" t="inlineStr">
        <is>
          <t>Hello! How can we help you?  Report وزباله و بنت تسال و تشرد : 65691000   ‫أُرسلت من الـ iPhone‬</t>
        </is>
      </c>
      <c r="E1622" s="4" t="inlineStr">
        <is>
          <t>65691000</t>
        </is>
      </c>
    </row>
    <row r="1623" ht="18" customHeight="1">
      <c r="A1623" s="5" t="inlineStr">
        <is>
          <t>Hn An &lt;aeaxn.22@gmail.com&gt;</t>
        </is>
      </c>
      <c r="B1623" s="6" t="inlineStr">
        <is>
          <t>aeaxn.22@gmail.com</t>
        </is>
      </c>
      <c r="C1623"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=?utf-8?B?INio2YXYs9itINin2YTYp9iz2KfYptmHINmI2KjYudivINmF2Kc=?=  =?utf-8?B?2KrZhtmF2LPYrSDYp9mE2KfYs9ij2KbZhyDYsdin2K0g2KfYrNiv?=  =?utf-8?B?2K8g2KfYtNiq2LHYp9mD2Yog2K7Yr9mF2Kkg2KfZhNio2YTZiNmD?=  =?utf-8?B?LiDZiNi02YPYsdin2Ysg?=</f>
        <v/>
      </c>
      <c r="D1623" s="5" t="inlineStr">
        <is>
          <t>Hello! How can we help you?  Report وزباله و بنت تسال و تشرد : 65691000   ‫أُرسلت من الـ iPhone‬</t>
        </is>
      </c>
      <c r="E1623" s="7" t="inlineStr">
        <is>
          <t>65691000</t>
        </is>
      </c>
    </row>
    <row r="1624" ht="18" customHeight="1">
      <c r="A1624" s="2">
        <f>?UTF-8?B?2YXYrdmF2K8g2K3Ys9mK2YY=?= &lt;hnfhnf71hnf@gmail.com&gt;</f>
        <v/>
      </c>
      <c r="B1624" s="3" t="inlineStr">
        <is>
          <t>hnfhnf71hnf@gmail.com</t>
        </is>
      </c>
      <c r="C1624" s="2" t="inlineStr"/>
      <c r="D1624" s="2" t="inlineStr">
        <is>
          <t xml:space="preserve">لا يعمل </t>
        </is>
      </c>
      <c r="E1624" s="4" t="inlineStr"/>
    </row>
    <row r="1625" ht="18" customHeight="1">
      <c r="A1625" s="5" t="inlineStr">
        <is>
          <t>Hn An &lt;aeaxn.22@gmail.com&gt;</t>
        </is>
      </c>
      <c r="B1625" s="6" t="inlineStr">
        <is>
          <t>aeaxn.22@gmail.com</t>
        </is>
      </c>
      <c r="C1625" s="5">
        <f>?utf-8?B?2KfZhNiz2YTYp9mFINmI2KfZhNix2K3ZhdmHINmF2YXZg9mGINmF?=  =?utf-8?B?2LPYrSDYp9mE2KPYs9in2KbZhyDYudmE2Ykg2YfYsNinINin2YQ=?=  =?utf-8?B?2LHZgtmFICDZhNmKINiq2YLYsdmK2KjYpyDYudi02LEg2LPZhtmI?=  =?utf-8?B?2KfYqiDYp9ix2KfYs9mE2YPZhSDZiNmE2Kcg2KfYrdivINmK2LE=?=  =?utf-8?B?2K8g2LnZhNmKINin2YTZhNmHINmK2KzYudmE2YfYpyDZgdmKINmF?=  =?utf-8?B?2YrYstin2YYg2K3Ys9mG2KfYqtmD2YUgINiz2KfYudiv2YjZhtmK?=  =?utf-8?B?INio2YXYs9itINin2YTYp9iz2KfYptmHIA==?=</f>
        <v/>
      </c>
      <c r="D1625" s="5" t="inlineStr">
        <is>
          <t>Hello! How can we help you?  Report وزباله و بنت تسال و تشرد : 65691000   ‫أُرسلت من الـ iPhone‬</t>
        </is>
      </c>
      <c r="E1625" s="7" t="inlineStr">
        <is>
          <t>65691000</t>
        </is>
      </c>
    </row>
    <row r="1626" ht="18" customHeight="1">
      <c r="A1626" s="2" t="inlineStr">
        <is>
          <t>Hn An &lt;aeaxn.22@gmail.com&gt;</t>
        </is>
      </c>
      <c r="B1626" s="3" t="inlineStr">
        <is>
          <t>aeaxn.22@gmail.com</t>
        </is>
      </c>
      <c r="C1626" s="2">
        <f>?utf-8?B?2KfZhNiz2YTYp9mFINmI2KfZhNix2K3ZhdmHINmF2YXZg9mGINmF?=  =?utf-8?B?2LPYrSDYp9mE2KPYs9in2KbZhyDYudmE2Ykg2YfYsNinINin2YQ=?=  =?utf-8?B?2LHZgtmFIA==?=</f>
        <v/>
      </c>
      <c r="D1626" s="2" t="inlineStr">
        <is>
          <t>Hello! How can we help you?  Report وزباله و بنت تسال و تشرد : 65691000   ‫أُرسلت من الـ iPhone‬</t>
        </is>
      </c>
      <c r="E1626" s="4" t="inlineStr">
        <is>
          <t>65691000</t>
        </is>
      </c>
    </row>
    <row r="1627" ht="18" customHeight="1">
      <c r="A1627" s="5" t="inlineStr">
        <is>
          <t>Faisal Saleh &lt;kw_bh19@hotmail.com&gt;</t>
        </is>
      </c>
      <c r="B1627" s="6" t="inlineStr">
        <is>
          <t>kw_bh19@hotmail.com</t>
        </is>
      </c>
      <c r="C1627" s="5">
        <f>?utf-8?B?2KfYsdis2Ygg2KfZhiDZitiq2YUg2K3YsNmBINin2YTYp9iz2YUg2YjYp9mE?=  =?utf-8?B?2LHZgtmFIA==?=</f>
        <v/>
      </c>
      <c r="D1627" s="5" t="inlineStr">
        <is>
          <t xml:space="preserve">Hello! How can we help you?  Report فيصل صالح الغضوري جيمني : 90009035  Sent from my iPhone </t>
        </is>
      </c>
      <c r="E1627" s="7" t="inlineStr">
        <is>
          <t>90009035</t>
        </is>
      </c>
    </row>
    <row r="1628" ht="18" customHeight="1">
      <c r="A1628" s="2" t="inlineStr">
        <is>
          <t>Faisal Saleh &lt;kw_bh19@hotmail.com&gt;</t>
        </is>
      </c>
      <c r="B1628" s="3" t="inlineStr">
        <is>
          <t>kw_bh19@hotmail.com</t>
        </is>
      </c>
      <c r="C1628" s="2">
        <f>?utf-8?B?2KfYsdis2Ygg2KfZhiDZitiq2YUg2K3YsNmBINin2YTYp9iz2YUg2YjYp9mE?=  =?utf-8?B?2LHZgtmFINmF2YYg2KfZhNio2LHZhtin2YXYrCA=?=</f>
        <v/>
      </c>
      <c r="D1628" s="2" t="inlineStr">
        <is>
          <t xml:space="preserve">Hello! How can we help you?  Report طالب بيت غرب عبد الله مبارك : 90009035  Sent from my iPhone </t>
        </is>
      </c>
      <c r="E1628" s="4" t="inlineStr">
        <is>
          <t>90009035</t>
        </is>
      </c>
    </row>
    <row r="1629" ht="18" customHeight="1">
      <c r="A1629" s="5">
        <f>?utf-8?B?2YfYr9mK2YQg2KfZhNi02YXYsdmK?= &lt;hadeel2413@gmail.com&gt;</f>
        <v/>
      </c>
      <c r="B1629" s="6" t="inlineStr">
        <is>
          <t>hadeel2413@gmail.com</t>
        </is>
      </c>
      <c r="C1629" s="5" t="inlineStr"/>
      <c r="D1629" s="5" t="inlineStr">
        <is>
          <t>Hello! How can we help you?  Report ايام ليتها تعود : 94989458   Sent from my iPhone</t>
        </is>
      </c>
      <c r="E1629" s="7" t="inlineStr">
        <is>
          <t>94989458</t>
        </is>
      </c>
    </row>
    <row r="1630" ht="18" customHeight="1">
      <c r="A1630" s="2">
        <f>?utf-8?B?2YfYr9mK2YQg2KfZhNi02YXYsdmK?= &lt;hadeel2413@gmail.com&gt;</f>
        <v/>
      </c>
      <c r="B1630" s="3" t="inlineStr">
        <is>
          <t>hadeel2413@gmail.com</t>
        </is>
      </c>
      <c r="C1630" s="2" t="inlineStr"/>
      <c r="D1630" s="2" t="inlineStr">
        <is>
          <t>Hello! How can we help you?  Report حبيبتي ❤ : 94989458   Sent from my iPhone</t>
        </is>
      </c>
      <c r="E1630" s="4" t="inlineStr">
        <is>
          <t>94989458</t>
        </is>
      </c>
    </row>
    <row r="1631" ht="18" customHeight="1">
      <c r="A1631" s="5">
        <f>?utf-8?B?2YfYr9mK2YQg2KfZhNi02YXYsdmK?= &lt;hadeel2413@gmail.com&gt;</f>
        <v/>
      </c>
      <c r="B1631" s="6" t="inlineStr">
        <is>
          <t>hadeel2413@gmail.com</t>
        </is>
      </c>
      <c r="C1631" s="5" t="inlineStr"/>
      <c r="D1631" s="5" t="inlineStr">
        <is>
          <t>Hello! How can we help you?  Report حبيبتي : 94989458   Sent from my iPhone</t>
        </is>
      </c>
      <c r="E1631" s="7" t="inlineStr">
        <is>
          <t>94989458</t>
        </is>
      </c>
    </row>
    <row r="1632" ht="18" customHeight="1">
      <c r="A1632" s="2" t="inlineStr">
        <is>
          <t>Kawthar Al Ali &lt;krrali_24@icloud.com&gt;</t>
        </is>
      </c>
      <c r="B1632" s="3" t="inlineStr">
        <is>
          <t>krrali_24@icloud.com</t>
        </is>
      </c>
      <c r="C1632" s="2">
        <f>?utf-8?B?2YrYsdis2Ykg2KfYrtmB2KfYoSDZh9iw2Kcg2KfZhNin2LPZhSA=?=  =?utf-8?B?2K3ZitirINmK2K3YqtmI2Yog2LnZhNmJINmF2LnZhNmI2YXYp9iq?=  =?utf-8?B?INiu2KfYtdipINis2K/Yp9mL?=</f>
        <v/>
      </c>
      <c r="D1632" s="2" t="inlineStr">
        <is>
          <t>Hello! How can we help you?  Report العمرية ق1 ش6 م32 | : 97651243   Sent from my iPhone</t>
        </is>
      </c>
      <c r="E1632" s="4" t="inlineStr">
        <is>
          <t>97651243</t>
        </is>
      </c>
    </row>
    <row r="1633" ht="18" customHeight="1">
      <c r="A1633" s="5" t="inlineStr">
        <is>
          <t>Kawthar Al Ali &lt;krrali_24@icloud.com&gt;</t>
        </is>
      </c>
      <c r="B1633" s="6" t="inlineStr">
        <is>
          <t>krrali_24@icloud.com</t>
        </is>
      </c>
      <c r="C1633" s="5">
        <f>?utf-8?B?2YrYsdis2Ykg2KfYrtmB2KfYoSDZh9iw2Kcg2KfZhNin2LPZhSA=?=  =?utf-8?B?2K3ZitirINmK2K3YqtmI2Yog2LnZhNmJINmF2LnZhNmI2YXYp9iq?=  =?utf-8?B?INiu2KfYtdipINis2K/Yp9mL?=</f>
        <v/>
      </c>
      <c r="D1633" s="5" t="inlineStr">
        <is>
          <t>Hello! How can we help you?  Report الفروانية ق 4 ش 118 م 2 : 97651243   Sent from my iPhone</t>
        </is>
      </c>
      <c r="E1633" s="7" t="inlineStr">
        <is>
          <t>97651243</t>
        </is>
      </c>
    </row>
    <row r="1634" ht="18" customHeight="1">
      <c r="A1634" s="2">
        <f>?utf-8?B?2YfYr9mK2YQg2KfZhNi02YXYsdmK?= &lt;hadeel2413@gmail.com&gt;</f>
        <v/>
      </c>
      <c r="B1634" s="3" t="inlineStr">
        <is>
          <t>hadeel2413@gmail.com</t>
        </is>
      </c>
      <c r="C1634" s="2" t="inlineStr"/>
      <c r="D1634" s="2" t="inlineStr">
        <is>
          <t>Hello! How can we help you?  Report هوووبي- : 99892911   ‫أُرسلت من الـ iPhone‬</t>
        </is>
      </c>
      <c r="E1634" s="4" t="inlineStr">
        <is>
          <t>99892911</t>
        </is>
      </c>
    </row>
    <row r="1635" ht="18" customHeight="1">
      <c r="A1635" s="5">
        <f>?utf-8?B?2YfYr9mK2YQg2KfZhNi02YXYsdmK?= &lt;hadeel2413@gmail.com&gt;</f>
        <v/>
      </c>
      <c r="B1635" s="6" t="inlineStr">
        <is>
          <t>hadeel2413@gmail.com</t>
        </is>
      </c>
      <c r="C1635" s="5" t="inlineStr"/>
      <c r="D1635" s="5" t="inlineStr">
        <is>
          <t>Hello! How can we help you?  Report مشاري البكر- : 99892911   ‫أُرسلت من الـ iPhone‬</t>
        </is>
      </c>
      <c r="E1635" s="7" t="inlineStr">
        <is>
          <t>99892911</t>
        </is>
      </c>
    </row>
    <row r="1636" ht="18" customHeight="1">
      <c r="A1636" s="2" t="inlineStr">
        <is>
          <t>FAHAD &lt;bo7ammod511@gmail.com&gt;</t>
        </is>
      </c>
      <c r="B1636" s="3" t="inlineStr">
        <is>
          <t>bo7ammod511@gmail.com</t>
        </is>
      </c>
      <c r="C1636" s="2">
        <f>?utf-8?B?2KrYudiv2YrZhA==?=</f>
        <v/>
      </c>
      <c r="D1636" s="2" t="inlineStr">
        <is>
          <t xml:space="preserve">Hello! How can we help you?  Report فهد العتيبي شرازي- : 65777708   ‫أُرسلت من الـ iPhone‬ ارجو تعديل الاسم </t>
        </is>
      </c>
      <c r="E1636" s="4" t="inlineStr">
        <is>
          <t>65777708</t>
        </is>
      </c>
    </row>
    <row r="1637" ht="18" customHeight="1">
      <c r="A1637" s="5">
        <f>?utf-8?B?2KfZhNmA2YDZiNiq2YDZgNmK2YDZhg==?= &lt;a.al3nzyaq8@gmail.com&gt;</f>
        <v/>
      </c>
      <c r="B1637" s="6" t="inlineStr">
        <is>
          <t>a.al3nzyaq8@gmail.com</t>
        </is>
      </c>
      <c r="C1637" s="5">
        <f>?utf-8?Q?=D8=A7=D8=B1=D8=AC=D9=88_=D8=AD=D8=B0=D9=81_=D8=B1?=  =?utf-8?Q?=D9=82=D9=85=D9=8A_=D9=85=D9=86_=D9=85=D9=86=D9=88_?=  =?utf-8?Q?=D8=AF=D8=A7=D9=82_51471797?=</f>
        <v/>
      </c>
      <c r="D1637" s="5" t="inlineStr">
        <is>
          <t>﻿ ﻿ Hello! How can we help you?  Report جديد مني 26 : 51471797   ‫أُرسلت من الـ iPhone‬</t>
        </is>
      </c>
      <c r="E1637" s="7" t="inlineStr">
        <is>
          <t>51471797</t>
        </is>
      </c>
    </row>
    <row r="1638" ht="18" customHeight="1">
      <c r="A1638" s="2" t="inlineStr">
        <is>
          <t>Layal Alessa &lt;layalalessa1@gmail.com&gt;</t>
        </is>
      </c>
      <c r="B1638" s="3" t="inlineStr">
        <is>
          <t>layalalessa1@gmail.com</t>
        </is>
      </c>
      <c r="C1638" s="2" t="inlineStr"/>
      <c r="D1638" s="2" t="inlineStr">
        <is>
          <t>Hello! How can we help you?  Report عيوزه- : 95571159   Sent from my iPhone</t>
        </is>
      </c>
      <c r="E1638" s="4" t="inlineStr">
        <is>
          <t>95571159</t>
        </is>
      </c>
    </row>
    <row r="1639" ht="18" customHeight="1">
      <c r="A1639" s="5" t="inlineStr">
        <is>
          <t>Sarah Almubarak &lt;sarrah.a.703@gmail.com&gt;</t>
        </is>
      </c>
      <c r="B1639" s="6" t="inlineStr">
        <is>
          <t>sarrah.a.703@gmail.com</t>
        </is>
      </c>
      <c r="C1639" s="5">
        <f>?utf-8?B?2KjZhNmI2YMg2LHZgtmF2Yog?=</f>
        <v/>
      </c>
      <c r="D1639" s="5" t="inlineStr">
        <is>
          <t xml:space="preserve">السلام عليكم، أريد عمل بلوك دائم لرقمي من غير اشتراك كل سنة، و أريد حذف المعلومات الخاصة بي التي تم جمعها مع العلم أريد حذف بياناتي بشكل دائم ومن غير دفع اشتراك كل سنة.  وشكراً.  رقم الهاتف 99867425 </t>
        </is>
      </c>
      <c r="E1639" s="7" t="inlineStr">
        <is>
          <t>99867425</t>
        </is>
      </c>
    </row>
    <row r="1640" ht="18" customHeight="1">
      <c r="A1640" s="2" t="inlineStr">
        <is>
          <t>NAWAF ALMUTAIRI &lt;nawafalmutairi1@hotmail.com&gt;</t>
        </is>
      </c>
      <c r="B1640" s="3" t="inlineStr">
        <is>
          <t>nawafalmutairi1@hotmail.com</t>
        </is>
      </c>
      <c r="C1640" s="2">
        <f>?utf-8?B?2KfZhNiz2YTYp9mFINi52YTZitmD2YUg2YjYsdit2YXYqSDYp9mE2YTZhyA=?=  =?utf-8?B?2YjYqNix2YPYp9iq2Ycg?=</f>
        <v/>
      </c>
      <c r="D1640" s="2" t="inlineStr">
        <is>
          <t xml:space="preserve">لقد عملت بلوك رقمي وقمت بالدفع مسبقاً ولايزال موجود في البحث  يرجى حجب الرقم  55544999 </t>
        </is>
      </c>
      <c r="E1640" s="4" t="inlineStr">
        <is>
          <t>55544999</t>
        </is>
      </c>
    </row>
    <row r="1641" ht="18" customHeight="1">
      <c r="A1641" s="5">
        <f>?utf-8?B?2YXYqNin2LHZgyDYp9mE2LHYp9is2K3Zig==?= &lt;m_s_r9@hotmail.com&gt;</f>
        <v/>
      </c>
      <c r="B1641" s="6" t="inlineStr">
        <is>
          <t>m_s_r9@hotmail.com</t>
        </is>
      </c>
      <c r="C1641" s="5">
        <f>?utf-8?B?2K3YsNmBINin2LPZhQ==?=</f>
        <v/>
      </c>
      <c r="D1641" s="5" t="inlineStr">
        <is>
          <t xml:space="preserve">Hello! How can we help you?  هذا الاسم مو اسمي ومسبب لي مشاكل اتمنى تحذفونه  Report MariamAlrshedi❤️.- : 99239919 </t>
        </is>
      </c>
      <c r="E1641" s="7" t="inlineStr">
        <is>
          <t>99239919</t>
        </is>
      </c>
    </row>
    <row r="1642" ht="18" customHeight="1">
      <c r="A1642" s="2" t="inlineStr">
        <is>
          <t>Enter Line &lt;enterline@hotmail.com&gt;</t>
        </is>
      </c>
      <c r="B1642" s="3" t="inlineStr">
        <is>
          <t>enterline@hotmail.com</t>
        </is>
      </c>
      <c r="C1642" s="2" t="inlineStr"/>
      <c r="D1642" s="2" t="inlineStr">
        <is>
          <t xml:space="preserve">Hello! How can we help you?  Report خالد انتر لاين 6 : 96989653  Sent from my iPhone </t>
        </is>
      </c>
      <c r="E1642" s="4" t="inlineStr">
        <is>
          <t>96989653</t>
        </is>
      </c>
    </row>
    <row r="1643" ht="18" customHeight="1">
      <c r="A1643" s="5" t="inlineStr">
        <is>
          <t>Mohamad Alosaimi &lt;gfgdtfbxgc@icloud.com&gt;</t>
        </is>
      </c>
      <c r="B1643" s="6" t="inlineStr">
        <is>
          <t>gfgdtfbxgc@icloud.com</t>
        </is>
      </c>
      <c r="C1643" s="5">
        <f>?utf-8?B?2YrYsdis2Ykg2KfZhNit2LDZgSA=?=</f>
        <v/>
      </c>
      <c r="D1643" s="5" t="inlineStr">
        <is>
          <t>Hello! How can we help you?  Report محمد ولد اخت عمر - : 55221311   Sent from my iPhone</t>
        </is>
      </c>
      <c r="E1643" s="7" t="inlineStr">
        <is>
          <t>55221311</t>
        </is>
      </c>
    </row>
    <row r="1644" ht="18" customHeight="1">
      <c r="A1644" s="2" t="inlineStr">
        <is>
          <t>Mohamad Alosaimi &lt;gfgdtfbxgc@icloud.com&gt;</t>
        </is>
      </c>
      <c r="B1644" s="3" t="inlineStr">
        <is>
          <t>gfgdtfbxgc@icloud.com</t>
        </is>
      </c>
      <c r="C1644" s="2">
        <f>?utf-8?B?2YrYsdis2Ykg2K3YsNmB2Yc=?=</f>
        <v/>
      </c>
      <c r="D1644" s="2" t="inlineStr">
        <is>
          <t>Hello! How can we help you?  Report سكان ص- : 55221311   Sent from my iPhone</t>
        </is>
      </c>
      <c r="E1644" s="4" t="inlineStr">
        <is>
          <t>55221311</t>
        </is>
      </c>
    </row>
    <row r="1645" ht="18" customHeight="1">
      <c r="A1645" s="5" t="inlineStr">
        <is>
          <t>Doctor AlSarraf &lt;aziz_3000@icloud.com&gt;</t>
        </is>
      </c>
      <c r="B1645" s="6" t="inlineStr">
        <is>
          <t>aziz_3000@icloud.com</t>
        </is>
      </c>
      <c r="C1645" s="5" t="inlineStr">
        <is>
          <t>caller</t>
        </is>
      </c>
      <c r="D1645" s="5" t="inlineStr">
        <is>
          <t>Hello! How can we help you?  Report احلام لاند 5 ايام بوغاتي : 50799333  please remove it from everywhere i dont want this name to show because what the hell is that name ?🥲</t>
        </is>
      </c>
      <c r="E1645" s="7" t="inlineStr">
        <is>
          <t>50799333</t>
        </is>
      </c>
    </row>
    <row r="1646" ht="18" customHeight="1">
      <c r="A1646" s="2" t="inlineStr">
        <is>
          <t>Ana Me &lt;a7ebny@gmail.com&gt;</t>
        </is>
      </c>
      <c r="B1646" s="3" t="inlineStr">
        <is>
          <t>a7ebny@gmail.com</t>
        </is>
      </c>
      <c r="C1646" s="2">
        <f>?UTF-8?B?2LnZitio?=</f>
        <v/>
      </c>
      <c r="D1646" s="2" t="inlineStr">
        <is>
          <t xml:space="preserve">تم مسح التطبيق لعدم المصداقية </t>
        </is>
      </c>
      <c r="E1646" s="4" t="inlineStr"/>
    </row>
    <row r="1647" ht="18" customHeight="1">
      <c r="A1647" s="5" t="inlineStr">
        <is>
          <t>Kommunicate Support &lt;support@kommunicate.io&gt;</t>
        </is>
      </c>
      <c r="B1647" s="6" t="inlineStr">
        <is>
          <t>support@kommunicate.io</t>
        </is>
      </c>
      <c r="C1647" s="5" t="inlineStr">
        <is>
          <t>Thank you for your payment</t>
        </is>
      </c>
      <c r="D1647" s="5" t="inlineStr">
        <is>
          <t>********************************** YOUR SUBSCRIPTION HAS BEEN RENEWED ********************************** Hey there,  We've received your payment and hope you're enjoying our offering.   Payment date 09-Oct-2025 19:56:48 IST  Invoiced amount $100.00  Payment method card ending with 4189   Your Subscription  ID  Azq8VtSYuRuMd1rUc Grow Monthly V1 $100.00 for 5 units   Billing Address Musaed Alazmi Villa 18, Salwa Hawally, Hawally 1002 Kuwait +96597663668  Shipping Address Musaed Alazmi Villa 18, Salwa Hawally, Hawally 1002 Kuwait +96597663668  If you have questions about this renewal, your subscription, or would just like to chat, contact us at any time. We'd love to hear from you.    ----  Kom ...</t>
        </is>
      </c>
      <c r="E1647" s="7" t="inlineStr">
        <is>
          <t>97663668</t>
        </is>
      </c>
    </row>
    <row r="1648" ht="18" customHeight="1">
      <c r="A1648" s="2" t="inlineStr">
        <is>
          <t>Kommunicate Support &lt;support@kommunicate.io&gt;</t>
        </is>
      </c>
      <c r="B1648" s="3" t="inlineStr">
        <is>
          <t>support@kommunicate.io</t>
        </is>
      </c>
      <c r="C1648" s="2" t="inlineStr">
        <is>
          <t>Here is your invoice</t>
        </is>
      </c>
      <c r="D1648" s="2" t="inlineStr">
        <is>
          <t>******************** HERE IS YOUR INVOICE ******************** Hey there,  Here is the invoice for your latest payment. If you have questions about this payment, your subscription, or would just like to chat, contact us at any time. .  You can drop your queries to support@kommunicate.io or you can start the chat from your Kommunicate dashboard. We'd love to hear from you.    Invoiced amount $100.00  Amount due $100.00  Status Payment Due    ----  Kommunicate [https://www.kommunicate.io/]Support  PS:  We hope you're enjoying your experience with us! As always, feel free to reach out to us. We'd love to hear from you.</t>
        </is>
      </c>
      <c r="E1648" s="4" t="inlineStr"/>
    </row>
    <row r="1649" ht="18" customHeight="1">
      <c r="A1649" s="5" t="inlineStr">
        <is>
          <t>Lolwah Madouh &lt;tamoo-lkm@hotmail.com&gt;</t>
        </is>
      </c>
      <c r="B1649" s="6" t="inlineStr">
        <is>
          <t>tamoo-lkm@hotmail.com</t>
        </is>
      </c>
      <c r="C1649" s="5" t="inlineStr"/>
      <c r="D1649" s="5" t="inlineStr">
        <is>
          <t xml:space="preserve">Hello! How can we help you?  Report Daiya B5 Gulf Road B2 F5 Appt 37 : 66144236  Sent from my iPhone  Please remove this name because this is my privater adress </t>
        </is>
      </c>
      <c r="E1649" s="7" t="inlineStr">
        <is>
          <t>66144236</t>
        </is>
      </c>
    </row>
    <row r="1650" ht="18" customHeight="1">
      <c r="A1650" s="2" t="inlineStr">
        <is>
          <t>Fahad Albuti &lt;fahadalbuti45@gmail.com&gt;</t>
        </is>
      </c>
      <c r="B1650" s="3" t="inlineStr">
        <is>
          <t>fahadalbuti45@gmail.com</t>
        </is>
      </c>
      <c r="C1650" s="2" t="inlineStr">
        <is>
          <t>Delete this please</t>
        </is>
      </c>
      <c r="D1650" s="2" t="inlineStr">
        <is>
          <t>Hello! How can we help you?  Report فهد البطي مصر : 99132139   Sent from my iPhone</t>
        </is>
      </c>
      <c r="E1650" s="4" t="inlineStr">
        <is>
          <t>99132139</t>
        </is>
      </c>
    </row>
    <row r="1651" ht="18" customHeight="1">
      <c r="A1651" s="5" t="inlineStr">
        <is>
          <t>Fahad Albuti &lt;fahadalbuti45@gmail.com&gt;</t>
        </is>
      </c>
      <c r="B1651" s="6" t="inlineStr">
        <is>
          <t>fahadalbuti45@gmail.com</t>
        </is>
      </c>
      <c r="C1651" s="5" t="inlineStr">
        <is>
          <t>Delete this please</t>
        </is>
      </c>
      <c r="D1651" s="5" t="inlineStr">
        <is>
          <t>Hello! How can we help you?  Report فهد 12 ع كمان البذال : 99132139   Sent from my iPhone</t>
        </is>
      </c>
      <c r="E1651" s="7" t="inlineStr">
        <is>
          <t>99132139</t>
        </is>
      </c>
    </row>
    <row r="1652" ht="18" customHeight="1">
      <c r="A1652" s="2" t="inlineStr">
        <is>
          <t>Fahad Albuti &lt;fahadalbuti45@gmail.com&gt;</t>
        </is>
      </c>
      <c r="B1652" s="3" t="inlineStr">
        <is>
          <t>fahadalbuti45@gmail.com</t>
        </is>
      </c>
      <c r="C1652" s="2" t="inlineStr">
        <is>
          <t>Delete this please</t>
        </is>
      </c>
      <c r="D1652" s="2" t="inlineStr">
        <is>
          <t>Hello! How can we help you?  Report 1500 لقرطبه انتظار : 99132139   Sent from my iPhone</t>
        </is>
      </c>
      <c r="E1652" s="4" t="inlineStr">
        <is>
          <t>99132139</t>
        </is>
      </c>
    </row>
    <row r="1653" ht="18" customHeight="1">
      <c r="A1653" s="5" t="inlineStr">
        <is>
          <t>Fahad Albuti &lt;fahadalbuti45@gmail.com&gt;</t>
        </is>
      </c>
      <c r="B1653" s="6" t="inlineStr">
        <is>
          <t>fahadalbuti45@gmail.com</t>
        </is>
      </c>
      <c r="C1653" s="5" t="inlineStr">
        <is>
          <t xml:space="preserve">Please delete this name </t>
        </is>
      </c>
      <c r="D1653" s="5" t="inlineStr">
        <is>
          <t>Hello! How can we help you?  Report فهد البطي يبي بيت العديلية ولد ام محمد : 99132139  Delete this please this is my number Sent from my iPhone</t>
        </is>
      </c>
      <c r="E1653" s="7" t="inlineStr">
        <is>
          <t>99132139</t>
        </is>
      </c>
    </row>
    <row r="1654" ht="18" customHeight="1">
      <c r="A1654" s="2">
        <f>?utf-8?B?2YrYoti52KLYstmBINij2YTZhtii2Yog2YbYotmK2YMg2YfZiti2INis2LE=?=  =?utf-8?B?2YjZiNit2YogLQ==?= &lt;dfaz_17@hotmail.com&gt;</f>
        <v/>
      </c>
      <c r="B1654" s="3" t="inlineStr">
        <is>
          <t>dfaz_17@hotmail.com</t>
        </is>
      </c>
      <c r="C1654" s="2">
        <f>?utf-8?B?2KfYsdis2Ygg2K3YsNmBINin2YTYp9iz2YUg2LrZitixINmE2KfYptmCINiz?=  =?utf-8?B?2Kg=?=</f>
        <v/>
      </c>
      <c r="D1654" s="2" t="inlineStr">
        <is>
          <t xml:space="preserve">Hello! How can we help you?  Report دلال العبده : 51599922  ‫أُرسلت من الـ iPhone‬ </t>
        </is>
      </c>
      <c r="E1654" s="4" t="inlineStr">
        <is>
          <t>51599922</t>
        </is>
      </c>
    </row>
    <row r="1655" ht="18" customHeight="1">
      <c r="A1655" s="5">
        <f>?utf-8?B?2YrYoti52KLYstmBINij2YTZhtii2Yog2YbYotmK2YMg2YfZiti2INis2LE=?=  =?utf-8?B?2YjZiNit2YogLQ==?= &lt;dfaz_17@hotmail.com&gt;</f>
        <v/>
      </c>
      <c r="B1655" s="6" t="inlineStr">
        <is>
          <t>dfaz_17@hotmail.com</t>
        </is>
      </c>
      <c r="C1655" s="5">
        <f>?utf-8?B?2KfYs9mFINi62YrYsSDZhNin2KbZgiDYs9io?=</f>
        <v/>
      </c>
      <c r="D1655" s="5" t="inlineStr">
        <is>
          <t xml:space="preserve">Hello! How can we help you?  Report دلال العبده : 51599922  ‫أُرسلت من الـ iPhone‬ </t>
        </is>
      </c>
      <c r="E1655" s="7" t="inlineStr">
        <is>
          <t>51599922</t>
        </is>
      </c>
    </row>
    <row r="1656" ht="18" customHeight="1">
      <c r="A1656" s="2">
        <f>?utf-8?B?2YrYoti52KLYstmBINij2YTZhtii2Yog2YbYotmK2YMg2YfZiti2INis2LE=?=  =?utf-8?B?2YjZiNit2YogLQ==?= &lt;dfaz_17@hotmail.com&gt;</f>
        <v/>
      </c>
      <c r="B1656" s="3" t="inlineStr">
        <is>
          <t>dfaz_17@hotmail.com</t>
        </is>
      </c>
      <c r="C1656" s="2">
        <f>?utf-8?B?2KfYs9mFINi62YrYsSDZhNin2KbZgg==?=</f>
        <v/>
      </c>
      <c r="D1656" s="2" t="inlineStr">
        <is>
          <t xml:space="preserve">Hello! How can we help you?  Report دلال العبده : 51599922  ‫أُرسلت من الـ iPhone‬ </t>
        </is>
      </c>
      <c r="E1656" s="4" t="inlineStr">
        <is>
          <t>51599922</t>
        </is>
      </c>
    </row>
    <row r="1657" ht="18" customHeight="1">
      <c r="A1657" s="5" t="inlineStr">
        <is>
          <t>Sara Alebrahim &lt;kuwaitpysch87@gmail.com&gt;</t>
        </is>
      </c>
      <c r="B1657" s="6" t="inlineStr">
        <is>
          <t>kuwaitpysch87@gmail.com</t>
        </is>
      </c>
      <c r="C1657" s="5" t="inlineStr"/>
      <c r="D1657" s="5" t="inlineStr">
        <is>
          <t>Hello! How can we help you?  Report ساره الهنديه : 55887458   Sent from my iPhone</t>
        </is>
      </c>
      <c r="E1657" s="7" t="inlineStr">
        <is>
          <t>55887458</t>
        </is>
      </c>
    </row>
    <row r="1658" ht="18" customHeight="1">
      <c r="A1658" s="2">
        <f>?utf-8?B?2LnYqNiv2KfZhNmE2Ycg2KfZhNi52YbYstmK?= &lt;aa.b.aq8@gmail.com&gt;</f>
        <v/>
      </c>
      <c r="B1658" s="3" t="inlineStr">
        <is>
          <t>aa.b.aq8@gmail.com</t>
        </is>
      </c>
      <c r="C1658" s="2">
        <f>?utf-8?Q?=D8=A7=D8=B1=D8=AC=D9=88_=D9=85=D8=B3=D8=AD_=D8=B1?=  =?utf-8?Q?=D9=82=D9=85=D9=8A_=D9=85=D9=86_=D9=85=D9=86=D9=88_?=  =?utf-8?Q?=D8=AF=D8=A7=D9=82_99373227?=</f>
        <v/>
      </c>
      <c r="D1658" s="2" t="inlineStr">
        <is>
          <t>Hello! How can we help you?  Report Salim Jawazat : 99373227   ‫أُرسلت من الـ iPhone‬</t>
        </is>
      </c>
      <c r="E1658" s="4" t="inlineStr">
        <is>
          <t>99373227</t>
        </is>
      </c>
    </row>
    <row r="1659" ht="18" customHeight="1">
      <c r="A1659" s="5" t="inlineStr">
        <is>
          <t>Maryam AlAwadhi &lt;maryom.al3wadhi@gmail.com&gt;</t>
        </is>
      </c>
      <c r="B1659" s="6" t="inlineStr">
        <is>
          <t>maryom.al3wadhi@gmail.com</t>
        </is>
      </c>
      <c r="C1659" s="5">
        <f>?UTF-8?B?UmU6INiq2YUg2K3YrNioINin2YTYsdmC2YUg2KfZhNmF2LfZhNmI2Kg=?=</f>
        <v/>
      </c>
      <c r="D1659" s="5" t="inlineStr">
        <is>
          <t xml:space="preserve">مازال ظاهر   On Thu, 9 Oct 2025 at 7:09 AM تطبيق منو داق &lt;sales@menodag.com&gt; wrote:  &gt; </t>
        </is>
      </c>
      <c r="E1659" s="7" t="inlineStr"/>
    </row>
    <row r="1660" ht="18" customHeight="1">
      <c r="A1660" s="2" t="inlineStr">
        <is>
          <t>"Mr. Hassan" &lt;has0n.180@gmail.com&gt;</t>
        </is>
      </c>
      <c r="B1660" s="3" t="inlineStr">
        <is>
          <t>has0n.180@gmail.com</t>
        </is>
      </c>
      <c r="C1660" s="2" t="inlineStr">
        <is>
          <t>Re: Private info delete asap</t>
        </is>
      </c>
      <c r="D1660" s="2" t="inlineStr">
        <is>
          <t xml:space="preserve"> Sent from my iPhone  &gt; On 4 Oct 2025, at 12:24 PM, Mr. Hassan &lt;has0n.180@gmail.com&gt; wrote: &gt;  &gt; ﻿ &gt; Hello! How can we help you? &gt;  &gt; Report حسن الحداد الدسمه 3 / الرشيد / 51 ع العقيله 8 مرجع : 65000671 &gt;  &gt;  &gt; Sent from my iPhone </t>
        </is>
      </c>
      <c r="E1660" s="4" t="inlineStr">
        <is>
          <t>65000671</t>
        </is>
      </c>
    </row>
    <row r="1661" ht="18" customHeight="1">
      <c r="A1661" s="5" t="inlineStr">
        <is>
          <t>raniem jawish &lt;raniemjawish@hotmail.com&gt;</t>
        </is>
      </c>
      <c r="B1661" s="6" t="inlineStr">
        <is>
          <t>raniemjawish@hotmail.com</t>
        </is>
      </c>
      <c r="C1661" s="5" t="inlineStr"/>
      <c r="D1661" s="5" t="inlineStr">
        <is>
          <t xml:space="preserve">Hello! can you remove the number and the name?  Report Raniem JAWISH : 97227280  Sent from my iPhone </t>
        </is>
      </c>
      <c r="E1661" s="7" t="inlineStr">
        <is>
          <t>97227280</t>
        </is>
      </c>
    </row>
    <row r="1662" ht="18" customHeight="1">
      <c r="A1662" s="2">
        <f>?utf-8?B?2KfYs9iq2LrZgdixINin2YTZhNmHINin2YTYrdmF2K8g2YTZhNmH?= &lt;msharexxop@gmail.com&gt;</f>
        <v/>
      </c>
      <c r="B1662" s="3" t="inlineStr">
        <is>
          <t>msharexxop@gmail.com</t>
        </is>
      </c>
      <c r="C1662" s="2">
        <f>?utf-8?B?2KfZhNix2YLZhSDYsdmC2YXZiiDZhNin2YPZhiDYp9mE2YPZhNin?=  =?utf-8?B?2YUg2KfZhNmF2YjYrNmI2K8g2YrYudiq2KjYsSDYrti32KfYoSA=?=  =?utf-8?B?2YTZiiDYp9iw2Kcg2YXZhdmD2YYg2KrZhdiz2K3ZiNmGINin2YQ=?=  =?utf-8?B?2YPZhNmF2YcgKNiv2KzYp9isKSE=?=</f>
        <v/>
      </c>
      <c r="D1662" s="2" t="inlineStr">
        <is>
          <t>Hello! How can we help you?  Report دجاج : 90905056   ‫أُرسلت من الـ iPhone‬</t>
        </is>
      </c>
      <c r="E1662" s="4" t="inlineStr">
        <is>
          <t>90905056</t>
        </is>
      </c>
    </row>
    <row r="1663" ht="18" customHeight="1">
      <c r="A1663" s="5" t="inlineStr">
        <is>
          <t>Ana Me &lt;a7ebny@gmail.com&gt;</t>
        </is>
      </c>
      <c r="B1663" s="6" t="inlineStr">
        <is>
          <t>a7ebny@gmail.com</t>
        </is>
      </c>
      <c r="C1663" s="5">
        <f>?UTF-8?B?UmU6INiq2YUg2K3YrNioINin2YTYsdmC2YUg2KfZhNmF2LfZhNmI2Kg=?=</f>
        <v/>
      </c>
      <c r="D1663" s="5" t="inlineStr">
        <is>
          <t xml:space="preserve">ليلحين يطلع  On Wed, 8 Oct 2025, 9:21 pm تطبيق منو داق, &lt;sales@menodag.com&gt; wrote:  &gt; &gt; </t>
        </is>
      </c>
      <c r="E1663" s="7" t="inlineStr"/>
    </row>
    <row r="1664" ht="18" customHeight="1">
      <c r="A1664" s="2">
        <f>?utf-8?B?2YXYsdmK2YUg2KfZhNi52YjYttmK?= &lt;maryomaalawadhi@icloud.com&gt;</f>
        <v/>
      </c>
      <c r="B1664" s="3" t="inlineStr">
        <is>
          <t>maryomaalawadhi@icloud.com</t>
        </is>
      </c>
      <c r="C1664" s="2">
        <f>?utf-8?B?UmU6INiq2YUg2K3YrNioINin2YTYsdmC2YUg2KfZhNmF2LfZhNmI?=  =?utf-8?B?2Kg=?=</f>
        <v/>
      </c>
      <c r="D1664" s="2" t="inlineStr">
        <is>
          <t xml:space="preserve">مازال الرقم ظاهر  Sent from my iPhone  &gt; On 8 Oct 2025, at 9:21 PM, تطبيق منو داق &lt;sales@menodag.com&gt; wrote: &gt;  &gt; ﻿ &gt;  </t>
        </is>
      </c>
      <c r="E1664" s="4" t="inlineStr"/>
    </row>
    <row r="1665" ht="18" customHeight="1">
      <c r="A1665" s="5" t="inlineStr">
        <is>
          <t>Saleh Alsheeha &lt;saleh.alsheeha@icloud.com&gt;</t>
        </is>
      </c>
      <c r="B1665" s="6" t="inlineStr">
        <is>
          <t>saleh.alsheeha@icloud.com</t>
        </is>
      </c>
      <c r="C1665" s="5" t="inlineStr">
        <is>
          <t xml:space="preserve">Important </t>
        </is>
      </c>
      <c r="D1665" s="5" t="inlineStr">
        <is>
          <t xml:space="preserve">Hello! How can we help you?  Report بدهم جنوب السره 430 : 67773109  اتمى إزاله هذا الاسم لان يحتوي على مكان سكني وهوخاص فيني   </t>
        </is>
      </c>
      <c r="E1665" s="7" t="inlineStr">
        <is>
          <t>67773109</t>
        </is>
      </c>
    </row>
    <row r="1666" ht="18" customHeight="1">
      <c r="A1666" s="2" t="inlineStr">
        <is>
          <t>Fahad Alrajhi &lt;k800if@icloud.com&gt;</t>
        </is>
      </c>
      <c r="B1666" s="3" t="inlineStr">
        <is>
          <t>k800if@icloud.com</t>
        </is>
      </c>
      <c r="C1666" s="2">
        <f>?utf-8?B?UmU6INiq2YUg2K3YrNioINin2YTYsdmC2YUg2KfZhNmF2LfZhNmI?=  =?utf-8?B?2Kg=?=</f>
        <v/>
      </c>
      <c r="D1666" s="2" t="inlineStr">
        <is>
          <t xml:space="preserve">يا اخي مابي احذف الرقم كامل فقط طلبت حذف واحد من الاسامي لو سمحت ارجاع الرقم وشكرا  Sent from my iPhone  &gt; On 8 Oct 2025, at 9:21 PM, تطبيق منو داق &lt;sales@menodag.com&gt; wrote: &gt;  &gt; ﻿ &gt;  </t>
        </is>
      </c>
      <c r="E1666" s="4" t="inlineStr"/>
    </row>
    <row r="1667" ht="18" customHeight="1">
      <c r="A1667" s="5" t="inlineStr">
        <is>
          <t>Sultan Otibi &lt;Q8og@hotmail.com&gt;</t>
        </is>
      </c>
      <c r="B1667" s="6" t="inlineStr">
        <is>
          <t>Q8og@hotmail.com</t>
        </is>
      </c>
      <c r="C1667" s="5">
        <f>?utf-8?B?UmU6INiq2YUg2K3YrNioINin2YTYsdmC2YUg2KfZhNmF2LfZhNmI2Kg=?=</f>
        <v/>
      </c>
      <c r="D1667" s="5" t="inlineStr">
        <is>
          <t xml:space="preserve">هل تم حجبه على طول ؟  او مؤقت هذا الشيء يهمني ؟ وياليت وضروري مايرجع ينشال الحجب اذا سمحت او يشيل على الاقل الاسماء اللي فيها امور خاصة او متعديه الخصوصية والمذكورة لكم في الايميل السابق واكون شاكر ومقدر لكم  وشكراً ….. ‫أُرسلت من الـ iPhone‬  ‫في 08‏/10‏/2025 الساعة 9:21 م، كتب/كتبت ‏تطبيق منو داق ‏&lt;sales@menodag.com&gt;:‬  ﻿  </t>
        </is>
      </c>
      <c r="E1667" s="7" t="inlineStr"/>
    </row>
    <row r="1668" ht="18" customHeight="1">
      <c r="A1668" s="2" t="inlineStr">
        <is>
          <t>brooo 79 &lt;broo_79@hotmail.com&gt;</t>
        </is>
      </c>
      <c r="B1668" s="3" t="inlineStr">
        <is>
          <t>broo_79@hotmail.com</t>
        </is>
      </c>
      <c r="C1668" s="2">
        <f>?utf-8?B?UmU6INiq2YUg2K3YrNioINin2YTYsdmC2YUg2KfZhNmF2LfZhNmI2Kg=?=</f>
        <v/>
      </c>
      <c r="D1668" s="2" t="inlineStr">
        <is>
          <t xml:space="preserve">الف الف شكر علي تعاونكم الراقي والمثمر ولكم جزيل الشكر ،،، 🌹🌹  On 8 Oct 2025, at 9:21 PM, تطبيق منو داق &lt;sales@menodag.com&gt; wrote:  ﻿  </t>
        </is>
      </c>
      <c r="E1668" s="4" t="inlineStr"/>
    </row>
    <row r="1669" ht="18" customHeight="1">
      <c r="A1669" s="5">
        <f>?utf-8?B?2YXYrdmF2K8g2KfZhNmF2KfYttmK?= &lt;madibls@hotmail.com&gt;</f>
        <v/>
      </c>
      <c r="B1669" s="6" t="inlineStr">
        <is>
          <t>madibls@hotmail.com</t>
        </is>
      </c>
      <c r="C1669" s="5">
        <f>?utf-8?B?UmU6INiq2YUg2K3YrNioINin2YTYsdmC2YUg2KfZhNmF2LfZhNmI2Kg=?=</f>
        <v/>
      </c>
      <c r="D1669" s="5" t="inlineStr">
        <is>
          <t xml:space="preserve">لا لاتحجبه  حطه برقم سناب العقارية Mohammad  khaleel +96599717400  ‫في 08‏/10‏/2025 الساعة 9:21 م، كتب/كتبت ‏تطبيق منو داق ‏&lt;sales@menodag.com&gt;:‬  ﻿  </t>
        </is>
      </c>
      <c r="E1669" s="7" t="inlineStr">
        <is>
          <t>99717400</t>
        </is>
      </c>
    </row>
    <row r="1670" ht="18" customHeight="1">
      <c r="A1670" s="2" t="inlineStr">
        <is>
          <t>Sultan Otibi &lt;Q8og@hotmail.com&gt;</t>
        </is>
      </c>
      <c r="B1670" s="3" t="inlineStr">
        <is>
          <t>Q8og@hotmail.com</t>
        </is>
      </c>
      <c r="C1670" s="2">
        <f>?utf-8?B?UmU6INiq2YUg2K3YrNioINin2YTYsdmC2YUg2KfZhNmF2LfZhNmI2Kg=?=</f>
        <v/>
      </c>
      <c r="D1670" s="2" t="inlineStr">
        <is>
          <t xml:space="preserve">﻿ 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670" s="4" t="inlineStr"/>
    </row>
    <row r="1671" ht="18" customHeight="1">
      <c r="A1671" s="5" t="inlineStr">
        <is>
          <t>Sultan Otibi &lt;Q8og@hotmail.com&gt;</t>
        </is>
      </c>
      <c r="B1671" s="6" t="inlineStr">
        <is>
          <t>Q8og@hotmail.com</t>
        </is>
      </c>
      <c r="C1671" s="5">
        <f>?utf-8?B?UmU6INiq2YUg2K3YrNioINin2YTYsdmC2YUg2KfZhNmF2LfZhNmI2Kg=?=</f>
        <v/>
      </c>
      <c r="D1671" s="5" t="inlineStr">
        <is>
          <t xml:space="preserve">تم حجبه على طول او مؤقت هذا الشيء يهمني ضروري مايرجع ينشال الحجب اذا سمحت  وشكراً …..  ‫أُرسلت من الـ iPhone‬  ‫في 08‏/10‏/2025 الساعة 9:21 م، كتب/كتبت ‏تطبيق منو داق ‏&lt;sales@menodag.com&gt;:‬  ﻿  </t>
        </is>
      </c>
      <c r="E1671" s="7" t="inlineStr"/>
    </row>
    <row r="1672" ht="18" customHeight="1">
      <c r="A1672" s="2" t="inlineStr">
        <is>
          <t>Microsoft Outlook 	&lt;MicrosoftExchange329e71ec88ae4615bbc36ab6ce41109e@NETORG19721190.onmicrosoft.com&gt;</t>
        </is>
      </c>
      <c r="B1672" s="3" t="inlineStr">
        <is>
          <t>MicrosoftExchange329e71ec88ae4615bbc36ab6ce41109e@NETORG19721190.onmicrosoft.com</t>
        </is>
      </c>
      <c r="C1672" s="2">
        <f>?iso-8859-6?B?VW5kZWxpdmVyYWJsZTogyuUgzczIIMfk0eLlIMfk5dfk6Mg=?=</f>
        <v/>
      </c>
      <c r="D1672" s="2" t="inlineStr">
        <is>
          <t>p00-iscream-smtp-5dc496cffb-qpstn rejected your message to the following email addresses:  asaalsubaie@icloud.com&lt;mailto:asaalsubaie@icloud.com&gt; The recipient's mailbox is full and can't accept messages now. Please try resending your message later, or contact the recipient directly.   p00-iscream-smtp-5dc496cffb-qpstn gave this error: &lt;asaalsubaie@icloud.com&gt;: user is over quota  s3odalmutairi99@icloud.com&lt;mailto:s3odalmutairi99@icloud.com&gt; The recipient's mailbox is full and can't accept messages now. Please try resending your message later, or contact the recipient directly.   p00-iscream-smtp-5dc496cffb-qpstn gave this error: &lt;s3odalmutairi99@icloud.com&gt;: user is over quota  soldar81@iclo ...</t>
        </is>
      </c>
      <c r="E1672" s="4" t="inlineStr">
        <is>
          <t>13230040</t>
        </is>
      </c>
    </row>
    <row r="1673" ht="18" customHeight="1">
      <c r="A1673" s="5" t="inlineStr">
        <is>
          <t>&lt;postmaster@microsoft.com&gt;</t>
        </is>
      </c>
      <c r="B1673" s="6" t="inlineStr">
        <is>
          <t>postmaster@microsoft.com</t>
        </is>
      </c>
      <c r="C1673" s="5">
        <f>?iso-8859-6?B?VW5kZWxpdmVyYWJsZTogyuUgzczIIMfk0eLlIMfk5dfk6Mg=?=</f>
        <v/>
      </c>
      <c r="D1673" s="5" t="inlineStr">
        <is>
          <t>[https://products.office.com/en-us/CMSImages/Office365Logo_Orange.png?version=b8d100a9-0a8b-8e6a-88e1-ef488fee0470] Your message to MSSecurity-noreply@microsoft.com couldn't be delivered. The group MSSecurity-noreply only accepts messages from people in its organization or on its allowed senders list, and your email address isn't on the list. sales   Office 365      MSSecurity-noreply Sender          Action Required Sender not allowed  How to Fix It It appears you aren't in the same organization as the group (or a sub-group) you're sending to or your email address isn't on the group's allowed senders list. Ask the owner of the group to grant you permission to send to it, and then try again.  ...</t>
        </is>
      </c>
      <c r="E1673" s="7" t="inlineStr">
        <is>
          <t>13230040</t>
        </is>
      </c>
    </row>
    <row r="1674" ht="18" customHeight="1">
      <c r="A1674" s="2" t="inlineStr">
        <is>
          <t>"No reply (Distro)" &lt;noreply+noreply@spreedly.com&gt;</t>
        </is>
      </c>
      <c r="B1674" s="3" t="inlineStr">
        <is>
          <t>noreply+noreply@spreedly.com</t>
        </is>
      </c>
      <c r="C1674" s="2">
        <f>?UTF-8?B?UmU6INiq2YUg2K3YrNioINin2YTYsdmC2YUg2KfZhNmF2LfZhNmI2Kg=?=</f>
        <v/>
      </c>
      <c r="D1674" s="2" t="inlineStr">
        <is>
          <t xml:space="preserve">Hello! This inbox is not monitored, please try contacting jordan@spreedly.com. </t>
        </is>
      </c>
      <c r="E1674" s="4" t="inlineStr"/>
    </row>
    <row r="1675" ht="18" customHeight="1">
      <c r="A1675" s="5" t="inlineStr">
        <is>
          <t>GoDaddy &lt;donotreply@godaddy.com&gt;</t>
        </is>
      </c>
      <c r="B1675" s="6" t="inlineStr">
        <is>
          <t>donotreply@godaddy.com</t>
        </is>
      </c>
      <c r="C1675" s="5" t="inlineStr">
        <is>
          <t>Security Alert: Your one-time sign in code is 027659.</t>
        </is>
      </c>
      <c r="D167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027659.&lt;/title&gt; &lt;style type="text/css"&gt;  	p {margin:0px;margin-bo ...</t>
        </is>
      </c>
      <c r="E1675" s="7" t="inlineStr"/>
    </row>
    <row r="1676" ht="18" customHeight="1">
      <c r="A1676" s="2" t="inlineStr">
        <is>
          <t>GoDaddy &lt;donotreply@godaddy.com&gt;</t>
        </is>
      </c>
      <c r="B1676" s="3" t="inlineStr">
        <is>
          <t>donotreply@godaddy.com</t>
        </is>
      </c>
      <c r="C1676" s="2" t="inlineStr">
        <is>
          <t>Email Account Activity: New Sign-In detected for your account.</t>
        </is>
      </c>
      <c r="D1676"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676" s="4" t="inlineStr"/>
    </row>
    <row r="1677" ht="18" customHeight="1">
      <c r="A1677" s="5">
        <f>?utf-8?B?2LnYqNiv2KfZhNix2K3ZhdmGINin2YTYrdmF2K8=?= 	&lt;a-s-alhamad@hotmail.com&gt;</f>
        <v/>
      </c>
      <c r="B1677" s="6" t="inlineStr">
        <is>
          <t>a-s-alhamad@hotmail.com</t>
        </is>
      </c>
      <c r="C1677" s="5" t="inlineStr"/>
      <c r="D1677" s="5" t="inlineStr">
        <is>
          <t xml:space="preserve">Hello! How can we help you?  Report أم فرح العارضية ق 10 : 99620089  الرجاء اخفاء منطقة سكني ‏MR / ABDULRAHMAN ALRASHIDI </t>
        </is>
      </c>
      <c r="E1677" s="7" t="inlineStr">
        <is>
          <t>99620089</t>
        </is>
      </c>
    </row>
    <row r="1678" ht="18" customHeight="1">
      <c r="A1678" s="2">
        <f>?utf-8?B?2LnYqNiv2KfZhNix2K3ZhdmGINin2YTYrdmF2K8=?= 	&lt;a-s-alhamad@hotmail.com&gt;</f>
        <v/>
      </c>
      <c r="B1678" s="3" t="inlineStr">
        <is>
          <t>a-s-alhamad@hotmail.com</t>
        </is>
      </c>
      <c r="C1678" s="2" t="inlineStr"/>
      <c r="D1678" s="2" t="inlineStr">
        <is>
          <t xml:space="preserve">Hello! How can we help you?  Report زك العاضيه : 99620089  الرجاء اخفاء قلة الادب بسبب سوء تلك الكلمه ‏ </t>
        </is>
      </c>
      <c r="E1678" s="4" t="inlineStr">
        <is>
          <t>99620089</t>
        </is>
      </c>
    </row>
    <row r="1679" ht="18" customHeight="1">
      <c r="A1679" s="5">
        <f>?utf-8?B?2LnYqNiv2KfZhNix2K3ZhdmGINin2YTYrdmF2K8=?= 	&lt;a-s-alhamad@hotmail.com&gt;</f>
        <v/>
      </c>
      <c r="B1679" s="6" t="inlineStr">
        <is>
          <t>a-s-alhamad@hotmail.com</t>
        </is>
      </c>
      <c r="C1679" s="5" t="inlineStr"/>
      <c r="D1679" s="5" t="inlineStr">
        <is>
          <t xml:space="preserve">Hello! How can we help you?  Report لولوه عبيدالله الرشيدي/باحثه ج : 99620089  الرجاء اخفاء الاسم كامل ‏ </t>
        </is>
      </c>
      <c r="E1679" s="7" t="inlineStr">
        <is>
          <t>99620089</t>
        </is>
      </c>
    </row>
    <row r="1680" ht="18" customHeight="1">
      <c r="A1680" s="2">
        <f>?utf-8?B?2LnYqNiv2KfZhNix2K3ZhdmGINin2YTYrdmF2K8=?= 	&lt;a-s-alhamad@hotmail.com&gt;</f>
        <v/>
      </c>
      <c r="B1680" s="3" t="inlineStr">
        <is>
          <t>a-s-alhamad@hotmail.com</t>
        </is>
      </c>
      <c r="C1680" s="2" t="inlineStr"/>
      <c r="D1680" s="2" t="inlineStr">
        <is>
          <t xml:space="preserve">Hello! How can we help you?  Report الواحه ق2 ش9 منزل 16 : 99620089  الرجاء اخفاء عنوان المنزل ‏ </t>
        </is>
      </c>
      <c r="E1680" s="4" t="inlineStr">
        <is>
          <t>99620089</t>
        </is>
      </c>
    </row>
    <row r="1681" ht="18" customHeight="1">
      <c r="A1681" s="5" t="inlineStr">
        <is>
          <t>Ana Me &lt;a7ebny@gmail.com&gt;</t>
        </is>
      </c>
      <c r="B1681" s="6" t="inlineStr">
        <is>
          <t>a7ebny@gmail.com</t>
        </is>
      </c>
      <c r="C1681" s="5">
        <f>?UTF-8?B?2KfYtNiq2LHYp9mD2Yo=?=</f>
        <v/>
      </c>
      <c r="D1681" s="5" t="inlineStr">
        <is>
          <t xml:space="preserve">السلام عليكم.. اشتراكي الاخير شريته تاريخ 25/3/2025 ما صار ليش واصلني مسج انه انتهى اليوم؟ </t>
        </is>
      </c>
      <c r="E1681" s="7" t="inlineStr"/>
    </row>
    <row r="1682" ht="18" customHeight="1">
      <c r="A1682" s="2" t="inlineStr">
        <is>
          <t>Bery Ahmad &lt;beryahmad72@gmail.com&gt;</t>
        </is>
      </c>
      <c r="B1682" s="3" t="inlineStr">
        <is>
          <t>beryahmad72@gmail.com</t>
        </is>
      </c>
      <c r="C1682" s="2">
        <f>?utf-8?B?2LfZhNioINit2LDZgSDYsdmC2YU=?=</f>
        <v/>
      </c>
      <c r="D1682" s="2" t="inlineStr">
        <is>
          <t>السلام عليكم يرجي تسجيل الرقم باسمي حيث انني مالك الرقم ووجدته مسجل باسم طباخه   الاسم / محمد جمعه شركه عوائد الكويت العقاريه الرقم 66637415 ‫أُرسلت من الـ iPhone‬</t>
        </is>
      </c>
      <c r="E1682" s="4" t="inlineStr">
        <is>
          <t>66637415</t>
        </is>
      </c>
    </row>
    <row r="1683" ht="18" customHeight="1">
      <c r="A1683" s="5" t="inlineStr">
        <is>
          <t>Abdullah ALSabti &lt;abdullah_alsabti@live.com&gt;</t>
        </is>
      </c>
      <c r="B1683" s="6" t="inlineStr">
        <is>
          <t>abdullah_alsabti@live.com</t>
        </is>
      </c>
      <c r="C1683" s="5" t="inlineStr">
        <is>
          <t xml:space="preserve">Report </t>
        </is>
      </c>
      <c r="D1683" s="5" t="inlineStr">
        <is>
          <t xml:space="preserve">Hello! How can we help you?  Report يسوي روحه ضريف عبدالله السبتي : 60067221  هذا التعليق يتحمل اساءه Sent from my iPhone </t>
        </is>
      </c>
      <c r="E1683" s="7" t="inlineStr">
        <is>
          <t>60067221</t>
        </is>
      </c>
    </row>
    <row r="1684" ht="18" customHeight="1">
      <c r="A1684" s="2" t="inlineStr">
        <is>
          <t>Sultan Otibi &lt;Q8og@hotmail.com&gt;</t>
        </is>
      </c>
      <c r="B1684" s="3" t="inlineStr">
        <is>
          <t>Q8og@hotmail.com</t>
        </is>
      </c>
      <c r="C1684" s="2">
        <f>?utf-8?B?2YXZiNi22YjYuSDYttix2YjYsdmK?=</f>
        <v/>
      </c>
      <c r="D1684" s="2" t="inlineStr">
        <is>
          <t xml:space="preserve">راسلتكم ولم يتم الرد ارجو الرد في اسرع وقت ممكن  ‫أُرسلت من الـ iPhone‬ </t>
        </is>
      </c>
      <c r="E1684" s="4" t="inlineStr"/>
    </row>
    <row r="1685" ht="18" customHeight="1">
      <c r="A1685" s="5" t="inlineStr">
        <is>
          <t>Reem Alonaizi &lt;reem_arch@hotmail.com&gt;</t>
        </is>
      </c>
      <c r="B1685" s="6" t="inlineStr">
        <is>
          <t>reem_arch@hotmail.com</t>
        </is>
      </c>
      <c r="C1685" s="5" t="inlineStr"/>
      <c r="D1685" s="5" t="inlineStr">
        <is>
          <t xml:space="preserve">Hello! How can we help you?  Report خالد تايه : 99667233 </t>
        </is>
      </c>
      <c r="E1685" s="7" t="inlineStr">
        <is>
          <t>99667233</t>
        </is>
      </c>
    </row>
    <row r="1686" ht="18" customHeight="1">
      <c r="A1686" s="2" t="inlineStr">
        <is>
          <t>Reem Alonaizi &lt;reem_arch@hotmail.com&gt;</t>
        </is>
      </c>
      <c r="B1686" s="3" t="inlineStr">
        <is>
          <t>reem_arch@hotmail.com</t>
        </is>
      </c>
      <c r="C1686" s="2" t="inlineStr"/>
      <c r="D1686" s="2" t="inlineStr">
        <is>
          <t xml:space="preserve">Hello! How can we help you?  Report هاني السعدون2 : 99667233 </t>
        </is>
      </c>
      <c r="E1686" s="4" t="inlineStr">
        <is>
          <t>99667233</t>
        </is>
      </c>
    </row>
    <row r="1687" ht="18" customHeight="1">
      <c r="A1687" s="5" t="inlineStr">
        <is>
          <t>Reem Alonaizi &lt;reem_arch@hotmail.com&gt;</t>
        </is>
      </c>
      <c r="B1687" s="6" t="inlineStr">
        <is>
          <t>reem_arch@hotmail.com</t>
        </is>
      </c>
      <c r="C1687" s="5" t="inlineStr"/>
      <c r="D1687" s="5" t="inlineStr">
        <is>
          <t xml:space="preserve">Hello! How can we help you?  Report هاني- : 99667233 </t>
        </is>
      </c>
      <c r="E1687" s="7" t="inlineStr">
        <is>
          <t>99667233</t>
        </is>
      </c>
    </row>
    <row r="1688" ht="18" customHeight="1">
      <c r="A1688" s="2" t="inlineStr">
        <is>
          <t>Reem Alonaizi &lt;reem_arch@hotmail.com&gt;</t>
        </is>
      </c>
      <c r="B1688" s="3" t="inlineStr">
        <is>
          <t>reem_arch@hotmail.com</t>
        </is>
      </c>
      <c r="C1688" s="2" t="inlineStr"/>
      <c r="D1688" s="2" t="inlineStr">
        <is>
          <t xml:space="preserve">Hello! How can we help you?  Report خالد تايه- : 99667233 </t>
        </is>
      </c>
      <c r="E1688" s="4" t="inlineStr">
        <is>
          <t>99667233</t>
        </is>
      </c>
    </row>
    <row r="1689" ht="18" customHeight="1">
      <c r="A1689" s="5" t="inlineStr">
        <is>
          <t>Reem Alonaizi &lt;reem_arch@hotmail.com&gt;</t>
        </is>
      </c>
      <c r="B1689" s="6" t="inlineStr">
        <is>
          <t>reem_arch@hotmail.com</t>
        </is>
      </c>
      <c r="C1689" s="5" t="inlineStr"/>
      <c r="D1689" s="5" t="inlineStr">
        <is>
          <t xml:space="preserve">Hello! How can we help you?  Report هاني العنيزي- : 99667233 </t>
        </is>
      </c>
      <c r="E1689" s="7" t="inlineStr">
        <is>
          <t>99667233</t>
        </is>
      </c>
    </row>
    <row r="1690" ht="18" customHeight="1">
      <c r="A1690" s="2" t="inlineStr">
        <is>
          <t>Reem Alonaizi &lt;reem_arch@hotmail.com&gt;</t>
        </is>
      </c>
      <c r="B1690" s="3" t="inlineStr">
        <is>
          <t>reem_arch@hotmail.com</t>
        </is>
      </c>
      <c r="C1690" s="2" t="inlineStr"/>
      <c r="D1690" s="2" t="inlineStr">
        <is>
          <t xml:space="preserve">Hello! How can we help you?  Report هاني العنيزي- : 99667233 </t>
        </is>
      </c>
      <c r="E1690" s="4" t="inlineStr">
        <is>
          <t>99667233</t>
        </is>
      </c>
    </row>
    <row r="1691" ht="18" customHeight="1">
      <c r="A1691" s="5" t="inlineStr">
        <is>
          <t>Aisha Almubarak &lt;aisha.almubarak@gmail.com&gt;</t>
        </is>
      </c>
      <c r="B1691" s="6" t="inlineStr">
        <is>
          <t>aisha.almubarak@gmail.com</t>
        </is>
      </c>
      <c r="C1691" s="5">
        <f>?utf-8?B?2KXYqNmE2KfYuiDYudmGINin2LPZhSDZhdiz2KzZhCA=?=</f>
        <v/>
      </c>
      <c r="D1691" s="5" t="inlineStr">
        <is>
          <t>Hello! How can we help you?  Report عايشة المبارك عند حمود : 99853892  هذا الاسم ليش جذي ! غلط و أدبيا ما يصير  Sent from my iPhone</t>
        </is>
      </c>
      <c r="E1691" s="7" t="inlineStr">
        <is>
          <t>99853892</t>
        </is>
      </c>
    </row>
    <row r="1692" ht="18" customHeight="1">
      <c r="A1692" s="2" t="inlineStr">
        <is>
          <t>Abdullah Alrumaih &lt;abdullahalrumaih227@icloud.com&gt;</t>
        </is>
      </c>
      <c r="B1692" s="3" t="inlineStr">
        <is>
          <t>abdullahalrumaih227@icloud.com</t>
        </is>
      </c>
      <c r="C1692" s="2" t="inlineStr"/>
      <c r="D1692" s="2" t="inlineStr">
        <is>
          <t>Hello! How can we help you?  Report دلال ستار ب البدع- : 65111379   Sent from my iPhone</t>
        </is>
      </c>
      <c r="E1692" s="4" t="inlineStr">
        <is>
          <t>65111379</t>
        </is>
      </c>
    </row>
    <row r="1693" ht="18" customHeight="1">
      <c r="A1693" s="5" t="inlineStr">
        <is>
          <t>Abdullah Alrumaih &lt;abdullahalrumaih227@icloud.com&gt;</t>
        </is>
      </c>
      <c r="B1693" s="6" t="inlineStr">
        <is>
          <t>abdullahalrumaih227@icloud.com</t>
        </is>
      </c>
      <c r="C1693" s="5" t="inlineStr"/>
      <c r="D1693" s="5" t="inlineStr">
        <is>
          <t>Hello! How can we help you?  Report Abdullah Rmeh Salwa 11 : 65111379   Sent from my iPhone</t>
        </is>
      </c>
      <c r="E1693" s="7" t="inlineStr">
        <is>
          <t>65111379</t>
        </is>
      </c>
    </row>
    <row r="1694" ht="18" customHeight="1">
      <c r="A1694" s="2" t="inlineStr">
        <is>
          <t>dark dark &lt;dark600@msn.com&gt;</t>
        </is>
      </c>
      <c r="B1694" s="3" t="inlineStr">
        <is>
          <t>dark600@msn.com</t>
        </is>
      </c>
      <c r="C1694" s="2" t="inlineStr"/>
      <c r="D1694" s="2" t="inlineStr">
        <is>
          <t xml:space="preserve">Hello! How can we help you?  Report -سعد القط : 99841133  ‫أُرسلت من الـ iPhone‬ </t>
        </is>
      </c>
      <c r="E1694" s="4" t="inlineStr">
        <is>
          <t>99841133</t>
        </is>
      </c>
    </row>
    <row r="1695" ht="18" customHeight="1">
      <c r="A1695" s="5" t="inlineStr">
        <is>
          <t>brooo 79 &lt;broo_79@hotmail.com&gt;</t>
        </is>
      </c>
      <c r="B1695" s="6" t="inlineStr">
        <is>
          <t>broo_79@hotmail.com</t>
        </is>
      </c>
      <c r="C1695" s="5">
        <f>?utf-8?B?2LfZhNioINit2LDZgSDYsdmC2YU=?=</f>
        <v/>
      </c>
      <c r="D1695" s="5" t="inlineStr">
        <is>
          <t xml:space="preserve">تواصلت كثيرا بدون حل للرقم 50348763 ودفعت من قبل الان ارغب في حذف بعض الاسماء الغير لائقة متي تردون ؟؟؟؟؟؟؟ ولكم جزيل الشكر ،،، 🌹🌹 </t>
        </is>
      </c>
      <c r="E1695" s="7" t="inlineStr">
        <is>
          <t>50348763</t>
        </is>
      </c>
    </row>
    <row r="1696" ht="18" customHeight="1">
      <c r="A1696" s="2" t="inlineStr">
        <is>
          <t>ABDULRAHMAN ALI &lt;alkandariimp@gmail.com&gt;</t>
        </is>
      </c>
      <c r="B1696" s="3" t="inlineStr">
        <is>
          <t>alkandariimp@gmail.com</t>
        </is>
      </c>
      <c r="C1696" s="2" t="inlineStr">
        <is>
          <t xml:space="preserve">Please erase this now </t>
        </is>
      </c>
      <c r="D1696" s="2" t="inlineStr">
        <is>
          <t xml:space="preserve">Hello! How can we help you?  Report عبدالرحمن Ack الجابرية : 60998428   Sent from my iPhone </t>
        </is>
      </c>
      <c r="E1696" s="4" t="inlineStr">
        <is>
          <t>60998428</t>
        </is>
      </c>
    </row>
    <row r="1697" ht="18" customHeight="1">
      <c r="A1697" s="5" t="inlineStr">
        <is>
          <t>moh mah &lt;abotalebmohamed2016@gmail.com&gt;</t>
        </is>
      </c>
      <c r="B1697" s="6" t="inlineStr">
        <is>
          <t>abotalebmohamed2016@gmail.com</t>
        </is>
      </c>
      <c r="C1697" s="5" t="inlineStr">
        <is>
          <t>Delete</t>
        </is>
      </c>
      <c r="D1697" s="5" t="inlineStr">
        <is>
          <t>Hello! How can we help you?  Report استاذ فور سييل : 50549095   ‫أُرسلت من الـ iPhone‬</t>
        </is>
      </c>
      <c r="E1697" s="7" t="inlineStr">
        <is>
          <t>50549095</t>
        </is>
      </c>
    </row>
    <row r="1698" ht="18" customHeight="1">
      <c r="A1698" s="2" t="inlineStr">
        <is>
          <t>moh mah &lt;abotalebmohamed2016@gmail.com&gt;</t>
        </is>
      </c>
      <c r="B1698" s="3" t="inlineStr">
        <is>
          <t>abotalebmohamed2016@gmail.com</t>
        </is>
      </c>
      <c r="C1698" s="2" t="inlineStr">
        <is>
          <t>Delete</t>
        </is>
      </c>
      <c r="D1698" s="2" t="inlineStr">
        <is>
          <t>Hello! How can we help you?  Report محمد ساكن معانا : 50549095   ‫أُرسلت من الـ iPhone‬</t>
        </is>
      </c>
      <c r="E1698" s="4" t="inlineStr">
        <is>
          <t>50549095</t>
        </is>
      </c>
    </row>
    <row r="1699" ht="18" customHeight="1">
      <c r="A1699" s="5" t="inlineStr">
        <is>
          <t>moh mah &lt;abotalebmohamed2016@gmail.com&gt;</t>
        </is>
      </c>
      <c r="B1699" s="6" t="inlineStr">
        <is>
          <t>abotalebmohamed2016@gmail.com</t>
        </is>
      </c>
      <c r="C1699" s="5">
        <f>?utf-8?Q?=D8=AD=D8=B0=D9=81__delete?=</f>
        <v/>
      </c>
      <c r="D1699" s="5" t="inlineStr">
        <is>
          <t>Hello! How can we help you?  Report توتر 2 : 50549095   ‫أُرسلت من الـ iPhone‬</t>
        </is>
      </c>
      <c r="E1699" s="7" t="inlineStr">
        <is>
          <t>50549095</t>
        </is>
      </c>
    </row>
    <row r="1700" ht="18" customHeight="1">
      <c r="A1700" s="2" t="inlineStr">
        <is>
          <t>moh mah &lt;abotalebmohamed2016@gmail.com&gt;</t>
        </is>
      </c>
      <c r="B1700" s="3" t="inlineStr">
        <is>
          <t>abotalebmohamed2016@gmail.com</t>
        </is>
      </c>
      <c r="C1700" s="2" t="inlineStr">
        <is>
          <t>Delete</t>
        </is>
      </c>
      <c r="D1700" s="2" t="inlineStr">
        <is>
          <t>Hello! How can we help you?  Report مدرسخ : 50549095   ‫أُرسلت من الـ iPhone‬</t>
        </is>
      </c>
      <c r="E1700" s="4" t="inlineStr">
        <is>
          <t>50549095</t>
        </is>
      </c>
    </row>
    <row r="1701" ht="18" customHeight="1">
      <c r="A1701" s="5">
        <f>?utf-8?B?2YXYtNi52YQg2KfZhNmB2YrYtdmE?= &lt;mashail123978@gmail.com&gt;</f>
        <v/>
      </c>
      <c r="B1701" s="6" t="inlineStr">
        <is>
          <t>mashail123978@gmail.com</t>
        </is>
      </c>
      <c r="C1701" s="5">
        <f>?utf-8?B?2YrYttix2YbZiiDYp9mG2Kcg2LXYp9it2Kgg2YfYsNinINin2YQ=?=  =?utf-8?B?2LHZgtmFIA==?=</f>
        <v/>
      </c>
      <c r="D1701" s="5" t="inlineStr">
        <is>
          <t>Hello! How can we help you?  Report 1910تاهو06من ا مام واصل500د : 97157194   ‫أُرسلت من الـ iPhone‬</t>
        </is>
      </c>
      <c r="E1701" s="7" t="inlineStr">
        <is>
          <t>97157194</t>
        </is>
      </c>
    </row>
    <row r="1702" ht="18" customHeight="1">
      <c r="A1702" s="2">
        <f>?utf-8?B?2YXYtNi52YQg2KfZhNmB2YrYtdmE?= &lt;mashail123978@gmail.com&gt;</f>
        <v/>
      </c>
      <c r="B1702" s="3" t="inlineStr">
        <is>
          <t>mashail123978@gmail.com</t>
        </is>
      </c>
      <c r="C1702" s="2">
        <f>?utf-8?B?2YrYttix2YbZig==?=</f>
        <v/>
      </c>
      <c r="D1702" s="2" t="inlineStr">
        <is>
          <t>Hello! How can we help you?  Report 1910تاهو06من ا مام واصل500د ز واتساب : 97157194   ‫أُرسلت من الـ iPhone‬</t>
        </is>
      </c>
      <c r="E1702" s="4" t="inlineStr">
        <is>
          <t>97157194</t>
        </is>
      </c>
    </row>
    <row r="1703" ht="18" customHeight="1">
      <c r="A1703" s="5" t="inlineStr">
        <is>
          <t>abdullah hasan &lt;abdullahajiah@icloud.com&gt;</t>
        </is>
      </c>
      <c r="B1703" s="6" t="inlineStr">
        <is>
          <t>abdullahajiah@icloud.com</t>
        </is>
      </c>
      <c r="C1703" s="5" t="inlineStr"/>
      <c r="D1703" s="5" t="inlineStr">
        <is>
          <t>Hello! How can we help you?  Report عبدالله بوخشم : 55500989   Sent from my iPhone</t>
        </is>
      </c>
      <c r="E1703" s="7" t="inlineStr">
        <is>
          <t>55500989</t>
        </is>
      </c>
    </row>
    <row r="1704" ht="18" customHeight="1">
      <c r="A1704" s="2" t="inlineStr">
        <is>
          <t>abdullah hasan &lt;abdullahajiah@icloud.com&gt;</t>
        </is>
      </c>
      <c r="B1704" s="3" t="inlineStr">
        <is>
          <t>abdullahajiah@icloud.com</t>
        </is>
      </c>
      <c r="C1704" s="2" t="inlineStr"/>
      <c r="D1704" s="2" t="inlineStr">
        <is>
          <t>Hello! How can we help you?  Report بدبد 2- : 55500989   Sent from my iPhone</t>
        </is>
      </c>
      <c r="E1704" s="4" t="inlineStr">
        <is>
          <t>55500989</t>
        </is>
      </c>
    </row>
    <row r="1705" ht="18" customHeight="1">
      <c r="A1705" s="5" t="inlineStr">
        <is>
          <t>abdullah hasan &lt;abdullahajiah@icloud.com&gt;</t>
        </is>
      </c>
      <c r="B1705" s="6" t="inlineStr">
        <is>
          <t>abdullahajiah@icloud.com</t>
        </is>
      </c>
      <c r="C1705" s="5" t="inlineStr"/>
      <c r="D1705" s="5" t="inlineStr">
        <is>
          <t>Hello! How can we help you?  Report بدبد - : 55500989   Sent from my iPhone</t>
        </is>
      </c>
      <c r="E1705" s="7" t="inlineStr">
        <is>
          <t>55500989</t>
        </is>
      </c>
    </row>
    <row r="1706" ht="18" customHeight="1">
      <c r="A1706" s="2" t="inlineStr">
        <is>
          <t>abdullah hasan &lt;abdullahajiah@icloud.com&gt;</t>
        </is>
      </c>
      <c r="B1706" s="3" t="inlineStr">
        <is>
          <t>abdullahajiah@icloud.com</t>
        </is>
      </c>
      <c r="C1706" s="2" t="inlineStr"/>
      <c r="D1706" s="2" t="inlineStr">
        <is>
          <t>Hello! How can we help you?  Report ديمااااا22- : 55500989   Sent from my iPhone</t>
        </is>
      </c>
      <c r="E1706" s="4" t="inlineStr">
        <is>
          <t>55500989</t>
        </is>
      </c>
    </row>
    <row r="1707" ht="18" customHeight="1">
      <c r="A1707" s="5" t="inlineStr">
        <is>
          <t>abdullah hasan &lt;abdullahajiah@icloud.com&gt;</t>
        </is>
      </c>
      <c r="B1707" s="6" t="inlineStr">
        <is>
          <t>abdullahajiah@icloud.com</t>
        </is>
      </c>
      <c r="C1707" s="5" t="inlineStr"/>
      <c r="D1707" s="5" t="inlineStr">
        <is>
          <t>Hello! How can we help you?  Report بدبد اخت ديمه : 55500989   Sent from my iPhone</t>
        </is>
      </c>
      <c r="E1707" s="7" t="inlineStr">
        <is>
          <t>55500989</t>
        </is>
      </c>
    </row>
    <row r="1708" ht="18" customHeight="1">
      <c r="A1708" s="2" t="inlineStr">
        <is>
          <t>abdullah hasan &lt;abdullahajiah@icloud.com&gt;</t>
        </is>
      </c>
      <c r="B1708" s="3" t="inlineStr">
        <is>
          <t>abdullahajiah@icloud.com</t>
        </is>
      </c>
      <c r="C1708" s="2" t="inlineStr"/>
      <c r="D1708" s="2" t="inlineStr">
        <is>
          <t>Hello! How can we help you?  Report بدبد : 55500989   Sent from my iPhone</t>
        </is>
      </c>
      <c r="E1708" s="4" t="inlineStr">
        <is>
          <t>55500989</t>
        </is>
      </c>
    </row>
    <row r="1709" ht="18" customHeight="1">
      <c r="A1709" s="5" t="inlineStr">
        <is>
          <t>abdullah hasan &lt;abdullahajiah@icloud.com&gt;</t>
        </is>
      </c>
      <c r="B1709" s="6" t="inlineStr">
        <is>
          <t>abdullahajiah@icloud.com</t>
        </is>
      </c>
      <c r="C1709" s="5" t="inlineStr"/>
      <c r="D1709" s="5" t="inlineStr">
        <is>
          <t>Hello! How can we help you?  Report بدبد- : 55500989   Sent from my iPhone</t>
        </is>
      </c>
      <c r="E1709" s="7" t="inlineStr">
        <is>
          <t>55500989</t>
        </is>
      </c>
    </row>
    <row r="1710" ht="18" customHeight="1">
      <c r="A1710" s="2" t="inlineStr">
        <is>
          <t>abdullah hasan &lt;abdullahajiah@icloud.com&gt;</t>
        </is>
      </c>
      <c r="B1710" s="3" t="inlineStr">
        <is>
          <t>abdullahajiah@icloud.com</t>
        </is>
      </c>
      <c r="C1710" s="2" t="inlineStr"/>
      <c r="D1710" s="2" t="inlineStr">
        <is>
          <t>Hello! How can we help you?  Report 26914 : 55500989   Sent from my iPhone</t>
        </is>
      </c>
      <c r="E1710" s="4" t="inlineStr">
        <is>
          <t>55500989</t>
        </is>
      </c>
    </row>
    <row r="1711" ht="18" customHeight="1">
      <c r="A1711" s="5" t="inlineStr">
        <is>
          <t>saad Fares &lt;saaadfares83@gmail.com&gt;</t>
        </is>
      </c>
      <c r="B1711" s="6" t="inlineStr">
        <is>
          <t>saaadfares83@gmail.com</t>
        </is>
      </c>
      <c r="C1711" s="5">
        <f>?utf-8?B?2YPZitmBINin2LbZitmBINin2LHZgtin2YUg2LnZhtiv2Yog2Lk=?=  =?utf-8?B?2YTZiSDYqNix2YbYp9mF2KzZg9mF?=</f>
        <v/>
      </c>
      <c r="D1711" s="5" t="inlineStr">
        <is>
          <t>Hello! How can we help you?    ‫أُرسلت من الـ iPhone‬</t>
        </is>
      </c>
      <c r="E1711" s="7" t="inlineStr"/>
    </row>
    <row r="1712" ht="18" customHeight="1">
      <c r="A1712" s="2">
        <f>?utf-8?B?2YXYrdmF2K8g2KfZhNmF2LfZitix2Yo=?= &lt;mohmdalmtyry63@gmail.com&gt;</f>
        <v/>
      </c>
      <c r="B1712" s="3" t="inlineStr">
        <is>
          <t>mohmdalmtyry63@gmail.com</t>
        </is>
      </c>
      <c r="C1712" s="2" t="inlineStr"/>
      <c r="D1712" s="2" t="inlineStr">
        <is>
          <t>Hello! How can we help you?  Report محمد أحمد محمد المطيري مستجد 2017 ريشموند : 98853225   Sent from my iPhone</t>
        </is>
      </c>
      <c r="E1712" s="4" t="inlineStr">
        <is>
          <t>98853225</t>
        </is>
      </c>
    </row>
    <row r="1713" ht="18" customHeight="1">
      <c r="A1713" s="5" t="inlineStr">
        <is>
          <t>Fatema Arrfaj &lt;f6oum37@gmail.com&gt;</t>
        </is>
      </c>
      <c r="B1713" s="6" t="inlineStr">
        <is>
          <t>f6oum37@gmail.com</t>
        </is>
      </c>
      <c r="C1713" s="5">
        <f>?utf-8?B?2K3Ys9io2Yog2KfZhNmE2Ycg2LnZhNmK2YPZhSDYp9mE2YTZhyA=?=  =?utf-8?B?2YrZhtiq2YLZhSDZhdmG2YPZhSAhISE=?=</f>
        <v/>
      </c>
      <c r="D1713" s="5" t="inlineStr">
        <is>
          <t>Hello! How can we help you?  حسبي الله عليكم الله ينتقم منكم ولا يوفقكم لا دنيا ولا قبر ولا اخره جم مره لازم ادز ايميل أقولكم مسحو الاسم يسوي مشاكل عائليه !!! أصلا بكيف منو ناشرين الأسامي اللي على رقمي !!!!!! الله ينتقم منكم انتقام عزيز مقتدر يارب حسبي الله عليكم الله لا يوفقكم !!!!   Report سنيورين لبعض : 99957988   Sent from my iPhone</t>
        </is>
      </c>
      <c r="E1713" s="7" t="inlineStr">
        <is>
          <t>99957988</t>
        </is>
      </c>
    </row>
    <row r="1714" ht="18" customHeight="1">
      <c r="A1714" s="2" t="inlineStr">
        <is>
          <t>Hussein Aljuburi &lt;husseinq8800@gmail.com&gt;</t>
        </is>
      </c>
      <c r="B1714" s="3" t="inlineStr">
        <is>
          <t>husseinq8800@gmail.com</t>
        </is>
      </c>
      <c r="C1714" s="2">
        <f>?utf-8?B?2KfYs9mFINi62YrYsSDZhNin2KbZgiA=?=</f>
        <v/>
      </c>
      <c r="D1714" s="2" t="inlineStr">
        <is>
          <t>Hello! How can we help you?  Report جبورية7 حسين ع لعالي كاظم : 99558331    Sent from my iPhone</t>
        </is>
      </c>
      <c r="E1714" s="4" t="inlineStr">
        <is>
          <t>99558331</t>
        </is>
      </c>
    </row>
    <row r="1715" ht="18" customHeight="1">
      <c r="A1715" s="5" t="inlineStr">
        <is>
          <t>Hussein Aljuburi &lt;husseinq8800@gmail.com&gt;</t>
        </is>
      </c>
      <c r="B1715" s="6" t="inlineStr">
        <is>
          <t>husseinq8800@gmail.com</t>
        </is>
      </c>
      <c r="C1715" s="5">
        <f>?utf-8?B?2KfYs9mFINi62YrYsSDZhNin2KbZgiA=?=</f>
        <v/>
      </c>
      <c r="D1715" s="5" t="inlineStr">
        <is>
          <t>Hello! How can we help you?  Report تويتي : 99558331    Sent from my iPhone</t>
        </is>
      </c>
      <c r="E1715" s="7" t="inlineStr">
        <is>
          <t>99558331</t>
        </is>
      </c>
    </row>
    <row r="1716" ht="18" customHeight="1">
      <c r="A1716" s="2" t="inlineStr">
        <is>
          <t>Hussein Aljuburi &lt;husseinq8800@gmail.com&gt;</t>
        </is>
      </c>
      <c r="B1716" s="3" t="inlineStr">
        <is>
          <t>husseinq8800@gmail.com</t>
        </is>
      </c>
      <c r="C1716" s="2">
        <f>?utf-8?B?2KfYs9mFINi62YrYsSDZhNin2KbZgg==?=</f>
        <v/>
      </c>
      <c r="D1716" s="2" t="inlineStr">
        <is>
          <t>Hello! How can we help you?  Report تويتي : 99558331    Sent from my iPhone</t>
        </is>
      </c>
      <c r="E1716" s="4" t="inlineStr">
        <is>
          <t>99558331</t>
        </is>
      </c>
    </row>
    <row r="1717" ht="18" customHeight="1">
      <c r="A1717" s="5">
        <f>?UTF-8?B?2LPYudmI2K8g2KfZhNiz2YjZiti3?= &lt;alswytswd21@gmail.com&gt;</f>
        <v/>
      </c>
      <c r="B1717" s="6" t="inlineStr">
        <is>
          <t>alswytswd21@gmail.com</t>
        </is>
      </c>
      <c r="C1717" s="5" t="inlineStr"/>
      <c r="D1717" s="5" t="inlineStr">
        <is>
          <t xml:space="preserve">مرحبا وصلت رسالة بانتهاء اشتراك حجب الرقم مع اني مشترك في شهر  2025/4 على الرقم 55110551 الرجاء المراجعة </t>
        </is>
      </c>
      <c r="E1717" s="7" t="inlineStr">
        <is>
          <t>55110551</t>
        </is>
      </c>
    </row>
    <row r="1718" ht="18" customHeight="1">
      <c r="A1718" s="2" t="inlineStr">
        <is>
          <t>Hussein Aljuburi &lt;husseinq8800@gmail.com&gt;</t>
        </is>
      </c>
      <c r="B1718" s="3" t="inlineStr">
        <is>
          <t>husseinq8800@gmail.com</t>
        </is>
      </c>
      <c r="C1718" s="2">
        <f>?utf-8?B?2KfYs9mFINi62YrYsSDZhNin2KbZgiA=?=</f>
        <v/>
      </c>
      <c r="D1718" s="2" t="inlineStr">
        <is>
          <t>Hello! How can we help you?  Report تويتي : 99558331    Sent from my iPhone</t>
        </is>
      </c>
      <c r="E1718" s="4" t="inlineStr">
        <is>
          <t>99558331</t>
        </is>
      </c>
    </row>
    <row r="1719" ht="18" customHeight="1">
      <c r="A1719" s="5" t="inlineStr">
        <is>
          <t>Jwii &lt;joooori232@gmail.com&gt;</t>
        </is>
      </c>
      <c r="B1719" s="6" t="inlineStr">
        <is>
          <t>joooori232@gmail.com</t>
        </is>
      </c>
      <c r="C1719" s="5">
        <f>?utf-8?Q?=D8=A8=D8=AE=D8=B5=D9=88=D8=B5_=D8=A7=D9=84=D8=A7?=  =?utf-8?Q?=D8=B3=D9=85_=D9=88=D8=A7=D9=84=D8=B1=D9=82=D9=85_abou?=  =?utf-8?Q?t_the_name_and_number_?=</f>
        <v/>
      </c>
      <c r="D1719" s="5" t="inlineStr">
        <is>
          <t>Hello! How can we help you?  Report جوري عبدالرحمن : 99565445  ارجوا حذف الاسم والرقم من البرنامج Please delete this name and number  Sent from my iPhone</t>
        </is>
      </c>
      <c r="E1719" s="7" t="inlineStr">
        <is>
          <t>99565445</t>
        </is>
      </c>
    </row>
    <row r="1720" ht="18" customHeight="1">
      <c r="A1720" s="2" t="inlineStr">
        <is>
          <t>Reem Alhashash &lt;a.reem.n2@gmail.com&gt;</t>
        </is>
      </c>
      <c r="B1720" s="3" t="inlineStr">
        <is>
          <t>a.reem.n2@gmail.com</t>
        </is>
      </c>
      <c r="C1720" s="2">
        <f>?utf-8?B?2K3YsNmB?=</f>
        <v/>
      </c>
      <c r="D1720" s="2" t="inlineStr">
        <is>
          <t>Hello! How can we help you?  Report سلوى قطعه 3 شارع 2 منزل 24 الدور 3 شقة 10 : 56633303  خصوصية   ‫أُرسلت من الـ Reem</t>
        </is>
      </c>
      <c r="E1720" s="4" t="inlineStr">
        <is>
          <t>56633303</t>
        </is>
      </c>
    </row>
    <row r="1721" ht="18" customHeight="1">
      <c r="A1721" s="5" t="inlineStr">
        <is>
          <t>Reem Alhashash &lt;a.reem.n2@gmail.com&gt;</t>
        </is>
      </c>
      <c r="B1721" s="6" t="inlineStr">
        <is>
          <t>a.reem.n2@gmail.com</t>
        </is>
      </c>
      <c r="C1721" s="5">
        <f>?utf-8?B?2K3YsNmB?=</f>
        <v/>
      </c>
      <c r="D1721" s="5" t="inlineStr">
        <is>
          <t>Hello! How can we help you?  Report ميرزا زياره العراق : 56633303   ‫أُرسلت من الـ Reem</t>
        </is>
      </c>
      <c r="E1721" s="7" t="inlineStr">
        <is>
          <t>56633303</t>
        </is>
      </c>
    </row>
    <row r="1722" ht="18" customHeight="1">
      <c r="A1722" s="2" t="inlineStr">
        <is>
          <t>Reem Alhashash &lt;a.reem.n2@gmail.com&gt;</t>
        </is>
      </c>
      <c r="B1722" s="3" t="inlineStr">
        <is>
          <t>a.reem.n2@gmail.com</t>
        </is>
      </c>
      <c r="C1722" s="2">
        <f>?utf-8?B?INin2YTYrti12YjYtdmK2Kkg?=</f>
        <v/>
      </c>
      <c r="D1722" s="2" t="inlineStr">
        <is>
          <t>Hello! How can we help you?  Report سلوى قطعه 3 شارع 2 منزل 24 الدور 3 شقة 10 : 56633303  حذف  ‫أُرسلت من الـ Reem</t>
        </is>
      </c>
      <c r="E1722" s="4" t="inlineStr">
        <is>
          <t>56633303</t>
        </is>
      </c>
    </row>
    <row r="1723" ht="18" customHeight="1">
      <c r="A1723" s="5" t="inlineStr">
        <is>
          <t>khaled al-othman &lt;divemaster_k55@hotmail.com&gt;</t>
        </is>
      </c>
      <c r="B1723" s="6" t="inlineStr">
        <is>
          <t>divemaster_k55@hotmail.com</t>
        </is>
      </c>
      <c r="C1723" s="5" t="inlineStr"/>
      <c r="D1723" s="5" t="inlineStr">
        <is>
          <t xml:space="preserve">Hello! How can we help you?  Report خالد العثمان شلرب برمضان الشعب : 99116922  Sent from my iPhone </t>
        </is>
      </c>
      <c r="E1723" s="7" t="inlineStr">
        <is>
          <t>99116922</t>
        </is>
      </c>
    </row>
    <row r="1724" ht="18" customHeight="1">
      <c r="A1724" s="2" t="inlineStr">
        <is>
          <t>Qzi _ &lt;khaled001238@gmail.com&gt;</t>
        </is>
      </c>
      <c r="B1724" s="3" t="inlineStr">
        <is>
          <t>khaled001238@gmail.com</t>
        </is>
      </c>
      <c r="C1724" s="2">
        <f>?utf-8?B?2KfYs9ih2Yc=?=</f>
        <v/>
      </c>
      <c r="D1724" s="2" t="inlineStr">
        <is>
          <t>Hello! How can we help you? اسأءه  Report خالد الرشيدي فورتشنر عازل : 94090654   ‫أُرسلت من الـ iPhone‬</t>
        </is>
      </c>
      <c r="E1724" s="4" t="inlineStr">
        <is>
          <t>94090654</t>
        </is>
      </c>
    </row>
    <row r="1725" ht="18" customHeight="1">
      <c r="A1725" s="5">
        <f>?utf-8?B?2KfYrdmF2K8g2KfZhNmF2LfZitix2Yo=?= &lt;almu6airi2@gmail.com&gt;</f>
        <v/>
      </c>
      <c r="B1725" s="6" t="inlineStr">
        <is>
          <t>almu6airi2@gmail.com</t>
        </is>
      </c>
      <c r="C1725" s="5" t="inlineStr"/>
      <c r="D1725" s="5" t="inlineStr">
        <is>
          <t>Hello! How can we help you?  Report A7mad Abdullah M6airy : 66388055  Hello i am the owner of this number please can you delete this from the app thank you  Sent from my iPhone</t>
        </is>
      </c>
      <c r="E1725" s="7" t="inlineStr">
        <is>
          <t>66388055</t>
        </is>
      </c>
    </row>
    <row r="1726" ht="18" customHeight="1">
      <c r="A1726" s="2">
        <f>?utf-8?B?2KfYrdmF2K8g2KfZhNmF2LfZitix2Yo=?= &lt;almu6airi2@gmail.com&gt;</f>
        <v/>
      </c>
      <c r="B1726" s="3" t="inlineStr">
        <is>
          <t>almu6airi2@gmail.com</t>
        </is>
      </c>
      <c r="C1726" s="2" t="inlineStr"/>
      <c r="D1726" s="2" t="inlineStr">
        <is>
          <t>Hello! How can we help you?  Report فريق متطوعي/احمد المطيري : 66388055  Hello i am the owner of this number please can you delete this from the app thank you  Sent from my iPhone</t>
        </is>
      </c>
      <c r="E1726" s="4" t="inlineStr">
        <is>
          <t>66388055</t>
        </is>
      </c>
    </row>
    <row r="1727" ht="18" customHeight="1">
      <c r="A1727" s="5">
        <f>?utf-8?B?2KfYrdmF2K8g2KfZhNmF2LfZitix2Yo=?= &lt;almu6airi2@gmail.com&gt;</f>
        <v/>
      </c>
      <c r="B1727" s="6" t="inlineStr">
        <is>
          <t>almu6airi2@gmail.com</t>
        </is>
      </c>
      <c r="C1727" s="5" t="inlineStr"/>
      <c r="D1727" s="5" t="inlineStr">
        <is>
          <t>Hello! How can we help you?  Report Ahmad 258 Vibes : 66388055  Hello i am the owner of this number please can you delete this from the app thank you  Sent from my iPhone</t>
        </is>
      </c>
      <c r="E1727" s="7" t="inlineStr">
        <is>
          <t>66388055</t>
        </is>
      </c>
    </row>
    <row r="1728" ht="18" customHeight="1">
      <c r="A1728" s="2">
        <f>?utf-8?B?2KfYrdmF2K8g2KfZhNmF2LfZitix2Yo=?= &lt;almu6airi2@gmail.com&gt;</f>
        <v/>
      </c>
      <c r="B1728" s="3" t="inlineStr">
        <is>
          <t>almu6airi2@gmail.com</t>
        </is>
      </c>
      <c r="C1728" s="2" t="inlineStr"/>
      <c r="D1728" s="2" t="inlineStr">
        <is>
          <t>Hello! How can we help you?  Report Alia AlMutairi : 66388055  Hello i am the owner of this number please can you delete this from the app thank you  Sent from my iPhone</t>
        </is>
      </c>
      <c r="E1728" s="4" t="inlineStr">
        <is>
          <t>66388055</t>
        </is>
      </c>
    </row>
    <row r="1729" ht="18" customHeight="1">
      <c r="A1729" s="5">
        <f>?utf-8?B?2KfYrdmF2K8g2KfZhNmF2LfZitix2Yo=?= &lt;almu6airi2@gmail.com&gt;</f>
        <v/>
      </c>
      <c r="B1729" s="6" t="inlineStr">
        <is>
          <t>almu6airi2@gmail.com</t>
        </is>
      </c>
      <c r="C1729" s="5" t="inlineStr"/>
      <c r="D1729" s="5" t="inlineStr">
        <is>
          <t>Hello! How can we help you?  Report A7mdo U5ouy❤️❤️ : 66388055  Hello i am the owner of this number can you delete this from the app thank you Sent from my iPhone</t>
        </is>
      </c>
      <c r="E1729" s="7" t="inlineStr">
        <is>
          <t>66388055</t>
        </is>
      </c>
    </row>
    <row r="1730" ht="18" customHeight="1">
      <c r="A1730" s="2">
        <f>?utf-8?B?2LnYqNiv2KfZhNix2K3ZhdmGINin2YTYrdmF2K8=?= 	&lt;a-s-alhamad@hotmail.com&gt;</f>
        <v/>
      </c>
      <c r="B1730" s="3" t="inlineStr">
        <is>
          <t>a-s-alhamad@hotmail.com</t>
        </is>
      </c>
      <c r="C1730" s="2">
        <f>?utf-8?B?VG8gdGhlIE1hbmFnZW1lbnQgJiBMZWdhbCBEZXBhcnRtZW50IG9mIOKAnE1h?=  =?utf-8?B?bm8gRGFx4oCdIOKAlCBSZXF1ZXN0IGZvciBSZW1vdmFsIG9mIFBlcnNvbmFs?=  =?utf-8?Q?_Data?=</f>
        <v/>
      </c>
      <c r="D1730" s="2" t="inlineStr">
        <is>
          <t>Hello! How can we help you?  Subject: Formal Notice — Immediate Removal of Personal Data and Privacy Protection Request   Peace be upon you,   To the Management and Legal Department of the Mano Daq application,   I hereby formally request the immediate deletion of my phone number and any personal information about me that is stored in your application. The availability of information containing my full name, my home address, and my workplace has exposed me to harassment and threats from individuals who reportedly used your application to carry out criminal acts against me. Law enforcement investigations have indicated that some suspects traced my name and home address via data obtained from  ...</t>
        </is>
      </c>
      <c r="E1730" s="4" t="inlineStr">
        <is>
          <t>99620089</t>
        </is>
      </c>
    </row>
    <row r="1731" ht="18" customHeight="1">
      <c r="A1731" s="5" t="inlineStr">
        <is>
          <t>Dhari Alrumaih &lt;dharialrumaih@gmail.com&gt;</t>
        </is>
      </c>
      <c r="B1731" s="6" t="inlineStr">
        <is>
          <t>dharialrumaih@gmail.com</t>
        </is>
      </c>
      <c r="C1731" s="5" t="inlineStr">
        <is>
          <t xml:space="preserve">remove </t>
        </is>
      </c>
      <c r="D1731" s="5" t="inlineStr">
        <is>
          <t>Hello! How can we help you?  Report صلاح متعب الرميح ضاري لسع بالنحل : 99500550   Sent from my iPhone</t>
        </is>
      </c>
      <c r="E1731" s="7" t="inlineStr">
        <is>
          <t>99500550</t>
        </is>
      </c>
    </row>
    <row r="1732" ht="18" customHeight="1">
      <c r="A1732" s="2" t="inlineStr">
        <is>
          <t>Fahad Al hamadan &lt;fahadfalhamdan@gmail.com&gt;</t>
        </is>
      </c>
      <c r="B1732" s="3" t="inlineStr">
        <is>
          <t>fahadfalhamdan@gmail.com</t>
        </is>
      </c>
      <c r="C1732" s="2" t="inlineStr"/>
      <c r="D1732" s="2" t="inlineStr">
        <is>
          <t>Hello! How can we help you?  Report فهد فراس - كشافة ملا حسن : 99316962   Sent from my iPhone</t>
        </is>
      </c>
      <c r="E1732" s="4" t="inlineStr">
        <is>
          <t>99316962</t>
        </is>
      </c>
    </row>
    <row r="1733" ht="18" customHeight="1">
      <c r="A1733" s="5" t="inlineStr">
        <is>
          <t>Ghaida Hajer. &lt;the.headliner@hotmail.com&gt;</t>
        </is>
      </c>
      <c r="B1733" s="6" t="inlineStr">
        <is>
          <t>the.headliner@hotmail.com</t>
        </is>
      </c>
      <c r="C1733" s="5">
        <f>?utf-8?B?2KfZhNix2KzYp9ihINmF2LPYrSDZh9iw2Kcg2KfZhNi52YbZiNin2YY=?=</f>
        <v/>
      </c>
      <c r="D1733" s="5" t="inlineStr">
        <is>
          <t xml:space="preserve">Hello! How can we help you?  Report شماغ طلب سعد العبدالله قطعه 4 : 97570081  Sent from my iPhone </t>
        </is>
      </c>
      <c r="E1733" s="7" t="inlineStr">
        <is>
          <t>97570081</t>
        </is>
      </c>
    </row>
    <row r="1734" ht="18" customHeight="1">
      <c r="A1734" s="2">
        <f>?utf-8?B?2LnYqNiv2KfZhNix2K3ZhdmGINin2YTYrdmF2K8=?= 	&lt;a-s-alhamad@hotmail.com&gt;</f>
        <v/>
      </c>
      <c r="B1734" s="3" t="inlineStr">
        <is>
          <t>a-s-alhamad@hotmail.com</t>
        </is>
      </c>
      <c r="C1734" s="2">
        <f>?utf-8?B?2KfYrtiq2LHYp9mCINmE2YTYrti12YjYtdmK2Kkg2YjYqti52LHZiti2INit?=  =?utf-8?B?2YrYp9iq2Yog2YTZhNiu2LfYsQ==?=</f>
        <v/>
      </c>
      <c r="D1734" s="2" t="inlineStr">
        <is>
          <t xml:space="preserve"> السلام عليكم ورحمة الله الرجاء من المسئولين والادارة القانونية لديكم والمعني بالأمر شطب رقمي لديكم حيث انني اتعرض لمضايقات بسبب المعلومات المتعلقه برقمي مثل ((عنوان البيت)) واسمي ((بالكامل)) ومكان ومقر ((عملي)) مما يسبب لي الضرر من بعض الاشخاص والذين استعانوا ببرنامجكم للقيام بعمل اجرامي بحقي حيث بينت تحقيقات المباحث انهم استدلوا على اسمي وعنوان بيتي من برنامجكم الرجاء احترام الخصوصية والغاء كل بيانات المذكوره بها اسمي وعنوان منزلي تفاديا لجلب الضرر بسبب برنامجكم الواقع علي والرجاء اعتبار هذا الايميل بمثابة اخطار رسمي مقدم لكم ف عندما تتعرض حياة الناس للخطر ليس بالامر البسيط الرجاء منكم وكلي امل بتعاونكم وخوفكم على ارواح البشر وحرصكم على عدم الاضرار بأحد ان تقوموا بدوركم وواجبكم ولكم جزيل ا ...</t>
        </is>
      </c>
      <c r="E1734" s="4" t="inlineStr">
        <is>
          <t>99620089</t>
        </is>
      </c>
    </row>
    <row r="1735" ht="18" customHeight="1">
      <c r="A1735" s="5" t="inlineStr">
        <is>
          <t>imenzalfani83@gmail.com</t>
        </is>
      </c>
      <c r="B1735" s="6" t="inlineStr">
        <is>
          <t>imenzalfani83@gmail.com</t>
        </is>
      </c>
      <c r="C1735" s="5" t="inlineStr">
        <is>
          <t xml:space="preserve">Bad name </t>
        </is>
      </c>
      <c r="D1735" s="5" t="inlineStr">
        <is>
          <t>Hi   Please remove this name   Is berry bad   Report زبونه السالميه وزن 80 : 67676336   Sent from my iPhone</t>
        </is>
      </c>
      <c r="E1735" s="7" t="inlineStr">
        <is>
          <t>67676336</t>
        </is>
      </c>
    </row>
    <row r="1736" ht="18" customHeight="1">
      <c r="A1736" s="2" t="inlineStr">
        <is>
          <t>aziz Almfreg &lt;A.Aziz02@outlook.com&gt;</t>
        </is>
      </c>
      <c r="B1736" s="3" t="inlineStr">
        <is>
          <t>A.Aziz02@outlook.com</t>
        </is>
      </c>
      <c r="C1736" s="2" t="inlineStr"/>
      <c r="D1736" s="2" t="inlineStr">
        <is>
          <t xml:space="preserve">Hello! How can we help you?  هذا الشخص مسجل اسمي بطريقه فيها تشويه سمعه.  ارجو حجب هذا الاسم من سجلاتكم  Report عزيز هوز 1 اورال صدمني بيعرف سيمون : 69697933  Sent from my iPhone </t>
        </is>
      </c>
      <c r="E1736" s="4" t="inlineStr">
        <is>
          <t>69697933</t>
        </is>
      </c>
    </row>
    <row r="1737" ht="18" customHeight="1">
      <c r="A1737" s="5">
        <f>?utf-8?B?2LnYqNiv2KfZhNmE2Ycg2KfZhNiv2K7ZitmE?= &lt;aldkheel554@gmail.com&gt;</f>
        <v/>
      </c>
      <c r="B1737" s="6" t="inlineStr">
        <is>
          <t>aldkheel554@gmail.com</t>
        </is>
      </c>
      <c r="C1737" s="5">
        <f>?utf-8?B?2YXYudmE2YjZhdin2Kog2K7Yp9i12Ycg2KjYp9mE2KfYs9mFIA==?=</f>
        <v/>
      </c>
      <c r="D1737" s="5" t="inlineStr">
        <is>
          <t>Hello! How can we help you?  Report عبدالله عادل الدخيل : 99932399   Sent from my iPhone</t>
        </is>
      </c>
      <c r="E1737" s="7" t="inlineStr">
        <is>
          <t>99932399</t>
        </is>
      </c>
    </row>
    <row r="1738" ht="18" customHeight="1">
      <c r="A1738" s="2">
        <f>?utf-8?B?2LnYqNiv2KfZhNmE2Ycg2KfZhNiv2K7ZitmE?= &lt;aldkheel554@gmail.com&gt;</f>
        <v/>
      </c>
      <c r="B1738" s="3" t="inlineStr">
        <is>
          <t>aldkheel554@gmail.com</t>
        </is>
      </c>
      <c r="C1738" s="2">
        <f>?utf-8?B?2KrYqNmE2YrYuiDYudmGINin2LPYp9ih2Yc=?=</f>
        <v/>
      </c>
      <c r="D1738" s="2" t="inlineStr">
        <is>
          <t>Hello! How can we help you?  Report ولد الناقة : 99932399   Sent from my iPhone</t>
        </is>
      </c>
      <c r="E1738" s="4" t="inlineStr">
        <is>
          <t>99932399</t>
        </is>
      </c>
    </row>
    <row r="1739" ht="18" customHeight="1">
      <c r="A1739" s="5" t="inlineStr">
        <is>
          <t>aziz Almfreg &lt;A.Aziz02@outlook.com&gt;</t>
        </is>
      </c>
      <c r="B1739" s="6" t="inlineStr">
        <is>
          <t>A.Aziz02@outlook.com</t>
        </is>
      </c>
      <c r="C1739" s="5">
        <f>?utf-8?B?U2xhbmRlciDYqti02YjZitmHINiz2YXYudmH?=</f>
        <v/>
      </c>
      <c r="D1739" s="5" t="inlineStr">
        <is>
          <t xml:space="preserve">Hello! How can we help you?  Report عزيز هوز 1 اورال صدمني بيعرف سيمون : 69697933  Sent from my iPhone </t>
        </is>
      </c>
      <c r="E1739" s="7" t="inlineStr">
        <is>
          <t>69697933</t>
        </is>
      </c>
    </row>
    <row r="1740" ht="18" customHeight="1">
      <c r="A1740" s="2" t="inlineStr">
        <is>
          <t>Abdullah &lt;lt.abdulla.alwatyan@gmail.com&gt;</t>
        </is>
      </c>
      <c r="B1740" s="3" t="inlineStr">
        <is>
          <t>lt.abdulla.alwatyan@gmail.com</t>
        </is>
      </c>
      <c r="C1740" s="2">
        <f>?utf-8?B?2KfYs9in2KbZhw==?=</f>
        <v/>
      </c>
      <c r="D1740" s="2" t="inlineStr">
        <is>
          <t>﻿ ﻿ Hello! How can we help you?  Report عبداللة هوز 1 بيحب يمص حبووب : 50778592   Sent from my iPhone</t>
        </is>
      </c>
      <c r="E1740" s="4" t="inlineStr">
        <is>
          <t>50778592</t>
        </is>
      </c>
    </row>
    <row r="1741" ht="18" customHeight="1">
      <c r="A1741" s="5" t="inlineStr">
        <is>
          <t>hamad alharbiy &lt;alharrbiy88@gmail.com&gt;</t>
        </is>
      </c>
      <c r="B1741" s="6" t="inlineStr">
        <is>
          <t>alharrbiy88@gmail.com</t>
        </is>
      </c>
      <c r="C1741" s="5">
        <f>?utf-8?B?2YrYrNioINin2YTYutin2KEg2KfZhNin2LPZhSDZgdmI2LHYpw==?=</f>
        <v/>
      </c>
      <c r="D1741" s="5" t="inlineStr">
        <is>
          <t>Hello! How can we help you?  Report روان- : 55175507    ‫أُرسلت من الـ iPhone‬</t>
        </is>
      </c>
      <c r="E1741" s="7" t="inlineStr">
        <is>
          <t>55175507</t>
        </is>
      </c>
    </row>
    <row r="1742" ht="18" customHeight="1">
      <c r="A1742" s="2" t="inlineStr">
        <is>
          <t>hamad alharbiy &lt;alharrbiy88@gmail.com&gt;</t>
        </is>
      </c>
      <c r="B1742" s="3" t="inlineStr">
        <is>
          <t>alharrbiy88@gmail.com</t>
        </is>
      </c>
      <c r="C1742" s="2">
        <f>?utf-8?B?2KfYs9in2KHYqg==?=</f>
        <v/>
      </c>
      <c r="D1742" s="2" t="inlineStr">
        <is>
          <t>Hello! How can we help you?  Report حماده )- : 55175507    ‫أُرسلت من الـ iPhone‬</t>
        </is>
      </c>
      <c r="E1742" s="4" t="inlineStr">
        <is>
          <t>55175507</t>
        </is>
      </c>
    </row>
    <row r="1743" ht="18" customHeight="1">
      <c r="A1743" s="5" t="inlineStr">
        <is>
          <t>hamad alharbiy &lt;alharrbiy88@gmail.com&gt;</t>
        </is>
      </c>
      <c r="B1743" s="6" t="inlineStr">
        <is>
          <t>alharrbiy88@gmail.com</t>
        </is>
      </c>
      <c r="C1743" s="5">
        <f>?utf-8?B?2KrYtNmI2YrZhyDYp9iz2YU=?=</f>
        <v/>
      </c>
      <c r="D1743" s="5" t="inlineStr">
        <is>
          <t>Hello! How can we help you?  Report حمود- : 55175507    ‫أُرسلت من الـ iPhone‬</t>
        </is>
      </c>
      <c r="E1743" s="7" t="inlineStr">
        <is>
          <t>55175507</t>
        </is>
      </c>
    </row>
    <row r="1744" ht="18" customHeight="1">
      <c r="A1744" s="2" t="inlineStr">
        <is>
          <t>saleh edrees &lt;salehedrees099@hotmail.com&gt;</t>
        </is>
      </c>
      <c r="B1744" s="3" t="inlineStr">
        <is>
          <t>salehedrees099@hotmail.com</t>
        </is>
      </c>
      <c r="C1744" s="2" t="inlineStr">
        <is>
          <t>Urgent delete</t>
        </is>
      </c>
      <c r="D1744" s="2" t="inlineStr">
        <is>
          <t xml:space="preserve">Hello! How can we help you?  Report بيع : 60781112  Sent from my iPhone </t>
        </is>
      </c>
      <c r="E1744" s="4" t="inlineStr">
        <is>
          <t>60781112</t>
        </is>
      </c>
    </row>
    <row r="1745" ht="18" customHeight="1">
      <c r="A1745" s="5" t="inlineStr">
        <is>
          <t>asaalsubaie@icloud.com</t>
        </is>
      </c>
      <c r="B1745" s="6" t="inlineStr">
        <is>
          <t>asaalsubaie@icloud.com</t>
        </is>
      </c>
      <c r="C1745" s="5">
        <f>?utf-8?B?2LfZhNioINit2LDZgSDYsdmC2YU=?=</f>
        <v/>
      </c>
      <c r="D1745" s="5" t="inlineStr">
        <is>
          <t xml:space="preserve">الرجاء حذف الاسماء من أرقامي التالية  65006668 90089332  </t>
        </is>
      </c>
      <c r="E1745" s="7" t="inlineStr">
        <is>
          <t>65006668, 90089332</t>
        </is>
      </c>
    </row>
    <row r="1746" ht="18" customHeight="1">
      <c r="A1746" s="2" t="inlineStr">
        <is>
          <t>nawaf zaid &lt;al6ba5eeen@windowslive.com&gt;</t>
        </is>
      </c>
      <c r="B1746" s="3" t="inlineStr">
        <is>
          <t>al6ba5eeen@windowslive.com</t>
        </is>
      </c>
      <c r="C1746" s="2" t="inlineStr"/>
      <c r="D1746" s="2" t="inlineStr">
        <is>
          <t xml:space="preserve">Hello! How can we help you?  Report النقيب/نواف العويص- : 99900013  Sent from my iPhone </t>
        </is>
      </c>
      <c r="E1746" s="4" t="inlineStr">
        <is>
          <t>99900013</t>
        </is>
      </c>
    </row>
    <row r="1747" ht="18" customHeight="1">
      <c r="A1747" s="5" t="inlineStr">
        <is>
          <t>nawaf zaid &lt;al6ba5eeen@windowslive.com&gt;</t>
        </is>
      </c>
      <c r="B1747" s="6" t="inlineStr">
        <is>
          <t>al6ba5eeen@windowslive.com</t>
        </is>
      </c>
      <c r="C1747" s="5" t="inlineStr"/>
      <c r="D1747" s="5" t="inlineStr">
        <is>
          <t xml:space="preserve">Hello! How can we help you?  Report نقيب نواف لعويسي- : 99900013  Sent from my iPhone </t>
        </is>
      </c>
      <c r="E1747" s="7" t="inlineStr">
        <is>
          <t>99900013</t>
        </is>
      </c>
    </row>
    <row r="1748" ht="18" customHeight="1">
      <c r="A1748" s="2" t="inlineStr">
        <is>
          <t>nawaf zaid &lt;al6ba5eeen@windowslive.com&gt;</t>
        </is>
      </c>
      <c r="B1748" s="3" t="inlineStr">
        <is>
          <t>al6ba5eeen@windowslive.com</t>
        </is>
      </c>
      <c r="C1748" s="2" t="inlineStr"/>
      <c r="D1748" s="2" t="inlineStr">
        <is>
          <t xml:space="preserve">Hello! How can we help you?  Report نواف العويصي طيبة- : 99900013  Sent from my iPhone </t>
        </is>
      </c>
      <c r="E1748" s="4" t="inlineStr">
        <is>
          <t>99900013</t>
        </is>
      </c>
    </row>
    <row r="1749" ht="18" customHeight="1">
      <c r="A1749" s="5" t="inlineStr">
        <is>
          <t>nawaf zaid &lt;al6ba5eeen@windowslive.com&gt;</t>
        </is>
      </c>
      <c r="B1749" s="6" t="inlineStr">
        <is>
          <t>al6ba5eeen@windowslive.com</t>
        </is>
      </c>
      <c r="C1749" s="5" t="inlineStr"/>
      <c r="D1749" s="5" t="inlineStr">
        <is>
          <t xml:space="preserve">Hello! How can we help you?  Report Light Shoes- : 99900013  Sent from my iPhone </t>
        </is>
      </c>
      <c r="E1749" s="7" t="inlineStr">
        <is>
          <t>99900013</t>
        </is>
      </c>
    </row>
    <row r="1750" ht="18" customHeight="1">
      <c r="A1750" s="2" t="inlineStr">
        <is>
          <t>nawaf zaid &lt;al6ba5eeen@windowslive.com&gt;</t>
        </is>
      </c>
      <c r="B1750" s="3" t="inlineStr">
        <is>
          <t>al6ba5eeen@windowslive.com</t>
        </is>
      </c>
      <c r="C1750" s="2" t="inlineStr"/>
      <c r="D1750" s="2" t="inlineStr">
        <is>
          <t xml:space="preserve">Hello! How can we help you?  Report Nweef Al 3we9y ll8l8- : 99900013  Sent from my iPhone </t>
        </is>
      </c>
      <c r="E1750" s="4" t="inlineStr">
        <is>
          <t>99900013</t>
        </is>
      </c>
    </row>
    <row r="1751" ht="18" customHeight="1">
      <c r="A1751" s="5" t="inlineStr">
        <is>
          <t>Hadel Mohamd &lt;hadelmohamd72@gmail.com&gt;</t>
        </is>
      </c>
      <c r="B1751" s="6" t="inlineStr">
        <is>
          <t>hadelmohamd72@gmail.com</t>
        </is>
      </c>
      <c r="C1751" s="5" t="inlineStr"/>
      <c r="D1751" s="5" t="inlineStr">
        <is>
          <t xml:space="preserve">أنا مريم </t>
        </is>
      </c>
      <c r="E1751" s="7" t="inlineStr"/>
    </row>
    <row r="1752" ht="18" customHeight="1">
      <c r="A1752" s="2" t="inlineStr">
        <is>
          <t>"Shahad H." &lt;eurydice27@icloud.com&gt;</t>
        </is>
      </c>
      <c r="B1752" s="3" t="inlineStr">
        <is>
          <t>eurydice27@icloud.com</t>
        </is>
      </c>
      <c r="C1752" s="2">
        <f>?utf-8?B?2YXYs9itINin2LPZhQ==?=</f>
        <v/>
      </c>
      <c r="D1752" s="2" t="inlineStr">
        <is>
          <t xml:space="preserve">Hello! How can we help you?  Report شهد مسائي : 90965343  ممكن مسح هذا الاسم التابع لي  </t>
        </is>
      </c>
      <c r="E1752" s="4" t="inlineStr">
        <is>
          <t>90965343</t>
        </is>
      </c>
    </row>
    <row r="1753" ht="18" customHeight="1">
      <c r="A1753" s="5" t="inlineStr">
        <is>
          <t>Dhari Bq &lt;dhari.bg@gmail.com&gt;</t>
        </is>
      </c>
      <c r="B1753" s="6" t="inlineStr">
        <is>
          <t>dhari.bg@gmail.com</t>
        </is>
      </c>
      <c r="C1753" s="5" t="inlineStr"/>
      <c r="D1753"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3" s="7" t="inlineStr">
        <is>
          <t>99111979</t>
        </is>
      </c>
    </row>
    <row r="1754" ht="18" customHeight="1">
      <c r="A1754" s="2" t="inlineStr">
        <is>
          <t>Dhari Bq &lt;dhari.bg@gmail.com&gt;</t>
        </is>
      </c>
      <c r="B1754" s="3" t="inlineStr">
        <is>
          <t>dhari.bg@gmail.com</t>
        </is>
      </c>
      <c r="C1754" s="2" t="inlineStr"/>
      <c r="D1754"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4" s="4" t="inlineStr">
        <is>
          <t>99111979</t>
        </is>
      </c>
    </row>
    <row r="1755" ht="18" customHeight="1">
      <c r="A1755" s="5" t="inlineStr">
        <is>
          <t>Dhari Bq &lt;dhari.bg@gmail.com&gt;</t>
        </is>
      </c>
      <c r="B1755" s="6" t="inlineStr">
        <is>
          <t>dhari.bg@gmail.com</t>
        </is>
      </c>
      <c r="C1755" s="5" t="inlineStr"/>
      <c r="D1755"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5" s="7" t="inlineStr">
        <is>
          <t>99111979</t>
        </is>
      </c>
    </row>
    <row r="1756" ht="18" customHeight="1">
      <c r="A1756" s="2" t="inlineStr">
        <is>
          <t>Dhari Bq &lt;dhari.bg@gmail.com&gt;</t>
        </is>
      </c>
      <c r="B1756" s="3" t="inlineStr">
        <is>
          <t>dhari.bg@gmail.com</t>
        </is>
      </c>
      <c r="C1756" s="2" t="inlineStr"/>
      <c r="D1756"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6" s="4" t="inlineStr">
        <is>
          <t>99111979</t>
        </is>
      </c>
    </row>
    <row r="1757" ht="18" customHeight="1">
      <c r="A1757" s="5" t="inlineStr">
        <is>
          <t>Dhari Bq &lt;dhari.bg@gmail.com&gt;</t>
        </is>
      </c>
      <c r="B1757" s="6" t="inlineStr">
        <is>
          <t>dhari.bg@gmail.com</t>
        </is>
      </c>
      <c r="C1757" s="5" t="inlineStr"/>
      <c r="D1757"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7" s="7" t="inlineStr">
        <is>
          <t>99111979</t>
        </is>
      </c>
    </row>
    <row r="1758" ht="18" customHeight="1">
      <c r="A1758" s="2" t="inlineStr">
        <is>
          <t>Dhari Bq &lt;dhari.bg@gmail.com&gt;</t>
        </is>
      </c>
      <c r="B1758" s="3" t="inlineStr">
        <is>
          <t>dhari.bg@gmail.com</t>
        </is>
      </c>
      <c r="C1758" s="2" t="inlineStr"/>
      <c r="D1758"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8" s="4" t="inlineStr">
        <is>
          <t>99111979</t>
        </is>
      </c>
    </row>
    <row r="1759" ht="18" customHeight="1">
      <c r="A1759" s="5" t="inlineStr">
        <is>
          <t>Dhari Bq &lt;dhari.bg@gmail.com&gt;</t>
        </is>
      </c>
      <c r="B1759" s="6" t="inlineStr">
        <is>
          <t>dhari.bg@gmail.com</t>
        </is>
      </c>
      <c r="C1759" s="5" t="inlineStr"/>
      <c r="D1759"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59" s="7" t="inlineStr">
        <is>
          <t>99111979</t>
        </is>
      </c>
    </row>
    <row r="1760" ht="18" customHeight="1">
      <c r="A1760" s="2" t="inlineStr">
        <is>
          <t>Dhari Bq &lt;dhari.bg@gmail.com&gt;</t>
        </is>
      </c>
      <c r="B1760" s="3" t="inlineStr">
        <is>
          <t>dhari.bg@gmail.com</t>
        </is>
      </c>
      <c r="C1760" s="2" t="inlineStr"/>
      <c r="D1760"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0" s="4" t="inlineStr">
        <is>
          <t>99111979</t>
        </is>
      </c>
    </row>
    <row r="1761" ht="18" customHeight="1">
      <c r="A1761" s="5" t="inlineStr">
        <is>
          <t>Dhari Bq &lt;dhari.bg@gmail.com&gt;</t>
        </is>
      </c>
      <c r="B1761" s="6" t="inlineStr">
        <is>
          <t>dhari.bg@gmail.com</t>
        </is>
      </c>
      <c r="C1761" s="5" t="inlineStr"/>
      <c r="D1761"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1" s="7" t="inlineStr">
        <is>
          <t>99111979</t>
        </is>
      </c>
    </row>
    <row r="1762" ht="18" customHeight="1">
      <c r="A1762" s="2" t="inlineStr">
        <is>
          <t>Dhari Bq &lt;dhari.bg@gmail.com&gt;</t>
        </is>
      </c>
      <c r="B1762" s="3" t="inlineStr">
        <is>
          <t>dhari.bg@gmail.com</t>
        </is>
      </c>
      <c r="C1762" s="2" t="inlineStr"/>
      <c r="D1762"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2" s="4" t="inlineStr">
        <is>
          <t>99111979</t>
        </is>
      </c>
    </row>
    <row r="1763" ht="18" customHeight="1">
      <c r="A1763" s="5" t="inlineStr">
        <is>
          <t>Dhari Bq &lt;dhari.bg@gmail.com&gt;</t>
        </is>
      </c>
      <c r="B1763" s="6" t="inlineStr">
        <is>
          <t>dhari.bg@gmail.com</t>
        </is>
      </c>
      <c r="C1763" s="5" t="inlineStr"/>
      <c r="D1763"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3" s="7" t="inlineStr">
        <is>
          <t>99111979</t>
        </is>
      </c>
    </row>
    <row r="1764" ht="18" customHeight="1">
      <c r="A1764" s="2" t="inlineStr">
        <is>
          <t>Dhari Bq &lt;dhari.bg@gmail.com&gt;</t>
        </is>
      </c>
      <c r="B1764" s="3" t="inlineStr">
        <is>
          <t>dhari.bg@gmail.com</t>
        </is>
      </c>
      <c r="C1764" s="2" t="inlineStr"/>
      <c r="D1764" s="2"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4" s="4" t="inlineStr">
        <is>
          <t>99111979</t>
        </is>
      </c>
    </row>
    <row r="1765" ht="18" customHeight="1">
      <c r="A1765" s="5" t="inlineStr">
        <is>
          <t>Dhari Bq &lt;dhari.bg@gmail.com&gt;</t>
        </is>
      </c>
      <c r="B1765" s="6" t="inlineStr">
        <is>
          <t>dhari.bg@gmail.com</t>
        </is>
      </c>
      <c r="C1765" s="5">
        <f>?UTF-8?B?2LTZg9mI2Yk=?=</f>
        <v/>
      </c>
      <c r="D1765" s="5" t="inlineStr">
        <is>
          <t xml:space="preserve">تم ابلاغي سابقا بأنه تم الحجب و تم المسح و لكن عندما انتهت فترة البلوك (( مدفوعة الاجر )) وجدت الاساءات نفسها لم تتغير على رقم هاتفي مما اظطرني لشراء خدمة البلوك  مره اخرى  99111979  ارجو الاتصال او اعطائي الخط الساخن لكي اتواصل معكم او اعطائي عنوان الشركه لكي اقوم بزيارتكم و توضيح المسألة او ان تقومون بمسح الاسماء المسيئة لي على رقم هاتفي 99111979 و تقومون بإثبات انه تم المسح الاساءة مثل ان يتم تصوير الشاشه   ارجو ان يتم التعامل مع الامر بجديه قبل ان اقوم بأتخاذ الاجراءات القانونيه ضد شركتكم بتهمة الابتزاز </t>
        </is>
      </c>
      <c r="E1765" s="7" t="inlineStr">
        <is>
          <t>99111979</t>
        </is>
      </c>
    </row>
    <row r="1766" ht="18" customHeight="1">
      <c r="A1766" s="2" t="inlineStr">
        <is>
          <t>Mona Alkandri &lt;mona1alkandri@gmail.com&gt;</t>
        </is>
      </c>
      <c r="B1766" s="3" t="inlineStr">
        <is>
          <t>mona1alkandri@gmail.com</t>
        </is>
      </c>
      <c r="C1766" s="2" t="inlineStr"/>
      <c r="D1766" s="2" t="inlineStr">
        <is>
          <t>Hello! How can we help you?  Report 5alty Mona : 69964900    ‫أُرسلت من الـ iPhone‬</t>
        </is>
      </c>
      <c r="E1766" s="4" t="inlineStr">
        <is>
          <t>69964900</t>
        </is>
      </c>
    </row>
    <row r="1767" ht="18" customHeight="1">
      <c r="A1767" s="5" t="inlineStr">
        <is>
          <t>Meshari Alajeel &lt;m.alajeel_99@hotmail.com&gt;</t>
        </is>
      </c>
      <c r="B1767" s="6" t="inlineStr">
        <is>
          <t>m.alajeel_99@hotmail.com</t>
        </is>
      </c>
      <c r="C1767" s="5" t="inlineStr">
        <is>
          <t>B lock Service</t>
        </is>
      </c>
      <c r="D1767" s="5" t="inlineStr">
        <is>
          <t xml:space="preserve">السلام عليكم،  انا رقمي 66498747 و سويت خاصيه البلوك شهر 3 و دفعت، كل سنه ادفع مرة من سنين.  اليوم وصلني مسج ادفع مره ثانيه، مع العلم اني دافع في تاريخ 20/3/2025  الرجاء الافادة شكرا. </t>
        </is>
      </c>
      <c r="E1767" s="7" t="inlineStr">
        <is>
          <t>66498747</t>
        </is>
      </c>
    </row>
    <row r="1768" ht="18" customHeight="1">
      <c r="A1768" s="2" t="inlineStr">
        <is>
          <t>Dhari Bq &lt;dhari.bg@gmail.com&gt;</t>
        </is>
      </c>
      <c r="B1768" s="3" t="inlineStr">
        <is>
          <t>dhari.bg@gmail.com</t>
        </is>
      </c>
      <c r="C1768" s="2">
        <f>?UTF-8?B?2LTZg9mI2Yk=?=</f>
        <v/>
      </c>
      <c r="D1768" s="2" t="inlineStr">
        <is>
          <t xml:space="preserve">اريد ازالة الشتائم عن هذا الرقم 99111979 </t>
        </is>
      </c>
      <c r="E1768" s="4" t="inlineStr">
        <is>
          <t>99111979</t>
        </is>
      </c>
    </row>
    <row r="1769" ht="18" customHeight="1">
      <c r="A1769" s="5" t="inlineStr">
        <is>
          <t>ABDULLAH ALAJMI &lt;alajjmi@yahoo.com&gt;</t>
        </is>
      </c>
      <c r="B1769" s="6" t="inlineStr">
        <is>
          <t>alajjmi@yahoo.com</t>
        </is>
      </c>
      <c r="C1769" s="5" t="inlineStr">
        <is>
          <t xml:space="preserve">Re: </t>
        </is>
      </c>
      <c r="D1769" s="5" t="inlineStr">
        <is>
          <t xml:space="preserve"> Sent from my iPhone  &gt; On 1 Oct 2025, at 6:27 PM, ABDULLAH ALAJMI &lt;alajjmi@yahoo.com&gt; wrote: &gt;  &gt; ﻿ &gt; Hello! How can we help you? &gt;  &gt; Report سوريا 4- : 99440225 &gt;  &gt; Please remove this? &gt;  &gt;  &gt; Sent from my iPhone </t>
        </is>
      </c>
      <c r="E1769" s="7" t="inlineStr">
        <is>
          <t>99440225</t>
        </is>
      </c>
    </row>
    <row r="1770" ht="18" customHeight="1">
      <c r="A1770" s="2" t="inlineStr">
        <is>
          <t>Fahad 997 &lt;faahad9997@gmail.com&gt;</t>
        </is>
      </c>
      <c r="B1770" s="3" t="inlineStr">
        <is>
          <t>faahad9997@gmail.com</t>
        </is>
      </c>
      <c r="C1770" s="2">
        <f>?utf-8?B?2YXYudmE2YjZhdin2KrZiiDYp9mE2K7Yp9i12Yc=?=</f>
        <v/>
      </c>
      <c r="D1770" s="2" t="inlineStr">
        <is>
          <t>Hello! How can we help you?  Report الواحة ق3ش5م61 : 50426268   ‫أُرسلت من الـ iPhone‬</t>
        </is>
      </c>
      <c r="E1770" s="4" t="inlineStr">
        <is>
          <t>50426268</t>
        </is>
      </c>
    </row>
    <row r="1771" ht="18" customHeight="1">
      <c r="A1771" s="5" t="inlineStr">
        <is>
          <t>Nour Alkhabbaz &lt;nouralkhabbaz@hotmail.com&gt;</t>
        </is>
      </c>
      <c r="B1771" s="6" t="inlineStr">
        <is>
          <t>nouralkhabbaz@hotmail.com</t>
        </is>
      </c>
      <c r="C1771" s="5" t="inlineStr"/>
      <c r="D1771" s="5" t="inlineStr">
        <is>
          <t xml:space="preserve">Hello! How can we help you?  Report عالعدان ق6 ش10 م25 : 96966903  Sent from my iPhone </t>
        </is>
      </c>
      <c r="E1771" s="7" t="inlineStr">
        <is>
          <t>96966903</t>
        </is>
      </c>
    </row>
    <row r="1772" ht="18" customHeight="1">
      <c r="A1772" s="2">
        <f>?utf-8?B?2YTZitmE2Ykg2KfZhNio2LHYp9i62YrYq9mK?= &lt;faatnh@yahoo.com&gt;</f>
        <v/>
      </c>
      <c r="B1772" s="3" t="inlineStr">
        <is>
          <t>faatnh@yahoo.com</t>
        </is>
      </c>
      <c r="C1772" s="2">
        <f>?utf-8?B?2YXZh9mF?=</f>
        <v/>
      </c>
      <c r="D1772" s="2" t="inlineStr">
        <is>
          <t>كيف الغي معرفة ماذا الناس امسميني على موبايلهم؟   ‫أُرسلت من الـ iPhone‬</t>
        </is>
      </c>
      <c r="E1772" s="4" t="inlineStr"/>
    </row>
    <row r="1773" ht="18" customHeight="1">
      <c r="A1773" s="5">
        <f>?utf-8?B?2YTZitmE2Ykg2KfZhNio2LHYp9i62YrYq9mK?= &lt;faatnh@yahoo.com&gt;</f>
        <v/>
      </c>
      <c r="B1773" s="6" t="inlineStr">
        <is>
          <t>faatnh@yahoo.com</t>
        </is>
      </c>
      <c r="C1773" s="5" t="inlineStr"/>
      <c r="D1773" s="5" t="inlineStr">
        <is>
          <t>Hello! How can we help you?السلام عليكم      ‫أُرسلت من الـ iPhone‬</t>
        </is>
      </c>
      <c r="E1773" s="7" t="inlineStr"/>
    </row>
    <row r="1774" ht="18" customHeight="1">
      <c r="A1774" s="2" t="inlineStr">
        <is>
          <t>Abdul Rahman &lt;a9999ab@hotmail.com&gt;</t>
        </is>
      </c>
      <c r="B1774" s="3" t="inlineStr">
        <is>
          <t>a9999ab@hotmail.com</t>
        </is>
      </c>
      <c r="C1774" s="2">
        <f>?utf-8?B?2YrYsdis2Ykg2K3YsNmBINin2YTYp9iz2YUgKCDZhNinICkg?=</f>
        <v/>
      </c>
      <c r="D1774" s="2" t="inlineStr">
        <is>
          <t xml:space="preserve">Hello! How can we help you?  Report لا : 55022857  يرجى حذف الاسم ( لا )   وشكراً </t>
        </is>
      </c>
      <c r="E1774" s="4" t="inlineStr">
        <is>
          <t>55022857</t>
        </is>
      </c>
    </row>
    <row r="1775" ht="18" customHeight="1">
      <c r="A1775" s="5" t="inlineStr">
        <is>
          <t>Wajd Ali &lt;wajdcfc@gmail.com&gt;</t>
        </is>
      </c>
      <c r="B1775" s="6" t="inlineStr">
        <is>
          <t>wajdcfc@gmail.com</t>
        </is>
      </c>
      <c r="C1775" s="5">
        <f>?utf-8?B?2YXYudmE2YjZhdin2Kog2YXYutmE2YjYt9mHINi52YYg2YfYsNin?=  =?utf-8?B?INin2YTYsdmC2YU=?=</f>
        <v/>
      </c>
      <c r="D1775" s="5" t="inlineStr">
        <is>
          <t>Hello! How can we help you?  Report الفردوس ق1 : 66707117   Sent from my iPhone</t>
        </is>
      </c>
      <c r="E1775" s="7" t="inlineStr">
        <is>
          <t>66707117</t>
        </is>
      </c>
    </row>
    <row r="1776" ht="18" customHeight="1">
      <c r="A1776" s="2" t="inlineStr">
        <is>
          <t>Wajd Ali &lt;wajdcfc@gmail.com&gt;</t>
        </is>
      </c>
      <c r="B1776" s="3" t="inlineStr">
        <is>
          <t>wajdcfc@gmail.com</t>
        </is>
      </c>
      <c r="C1776" s="2" t="inlineStr"/>
      <c r="D1776" s="2" t="inlineStr">
        <is>
          <t>Hello! How can we help you?  Report وجد الفردوس ق1 جا 8 م48 : 66707117   Sent from my iPhone معلومات خاطئه مكتوبه اتمنى ازالته</t>
        </is>
      </c>
      <c r="E1776" s="4" t="inlineStr">
        <is>
          <t>66707117</t>
        </is>
      </c>
    </row>
    <row r="1777" ht="18" customHeight="1">
      <c r="A1777" s="5">
        <f>?utf-8?B?2LPYp9ix2Ycg2KfZhNmF2LfZitix2Yo=?= &lt;salmutiri78787@gmail.com&gt;</f>
        <v/>
      </c>
      <c r="B1777" s="6" t="inlineStr">
        <is>
          <t>salmutiri78787@gmail.com</t>
        </is>
      </c>
      <c r="C1777" s="5">
        <f>?utf-8?B?2KfZhNix2KzYp9ihINit2LDZgSDYp9mE2LnZhtmI2KfZhtmGLiA=?=</f>
        <v/>
      </c>
      <c r="D1777" s="5" t="inlineStr">
        <is>
          <t>Hello! How can we help you? Please remove address   Report جابر الاحمد ق7 ش 710 م793 : 51174193   ‫أُرسلت من الـ iPhone‬</t>
        </is>
      </c>
      <c r="E1777" s="7" t="inlineStr">
        <is>
          <t>51174193</t>
        </is>
      </c>
    </row>
    <row r="1778" ht="18" customHeight="1">
      <c r="A1778" s="2" t="inlineStr">
        <is>
          <t>"meme ." &lt;mariam_scc@hotmail.com&gt;</t>
        </is>
      </c>
      <c r="B1778" s="3" t="inlineStr">
        <is>
          <t>mariam_scc@hotmail.com</t>
        </is>
      </c>
      <c r="C1778" s="2" t="inlineStr"/>
      <c r="D1778" s="2" t="inlineStr">
        <is>
          <t xml:space="preserve">Hello! How can we help you?  Report متطفلين حسب بلاغات من بلدك KW :  Sent from my iPhone </t>
        </is>
      </c>
      <c r="E1778" s="4" t="inlineStr"/>
    </row>
    <row r="1779" ht="18" customHeight="1">
      <c r="A1779" s="5" t="inlineStr">
        <is>
          <t>bader alenezi &lt;ffoff44@me.com&gt;</t>
        </is>
      </c>
      <c r="B1779" s="6" t="inlineStr">
        <is>
          <t>ffoff44@me.com</t>
        </is>
      </c>
      <c r="C1779" s="5" t="inlineStr">
        <is>
          <t>Add My Company</t>
        </is>
      </c>
      <c r="D1779" s="5" t="inlineStr">
        <is>
          <t>You are one step away from taking your business to the next level!  Provide us with the following:  Manadatory Fields: Name Arabic. Name English. Website. Phone. Business sector. Optional Fields: Location. Email. Notes.  Notes:  We will review the data provided including the mandatory fields. If all went alright! We will call you to authenticate you and your relation to the mentioned business. This may take up to a week.  Sent from my iPhone</t>
        </is>
      </c>
      <c r="E1779" s="7" t="inlineStr"/>
    </row>
    <row r="1780" ht="18" customHeight="1">
      <c r="A1780" s="2" t="inlineStr">
        <is>
          <t>GoDaddy &lt;donotreply@godaddy.com&gt;</t>
        </is>
      </c>
      <c r="B1780" s="3" t="inlineStr">
        <is>
          <t>donotreply@godaddy.com</t>
        </is>
      </c>
      <c r="C1780" s="2" t="inlineStr">
        <is>
          <t>Security Alert: Your one-time sign in code is 863208.</t>
        </is>
      </c>
      <c r="D1780"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863208.&lt;/title&gt; &lt;style type="text/css"&gt;  	p {margin:0px;margin-bo ...</t>
        </is>
      </c>
      <c r="E1780" s="4" t="inlineStr"/>
    </row>
    <row r="1781" ht="18" customHeight="1">
      <c r="A1781" s="5" t="inlineStr">
        <is>
          <t>GoDaddy &lt;donotreply@godaddy.com&gt;</t>
        </is>
      </c>
      <c r="B1781" s="6" t="inlineStr">
        <is>
          <t>donotreply@godaddy.com</t>
        </is>
      </c>
      <c r="C1781" s="5" t="inlineStr">
        <is>
          <t>Security Alert: Your one-time sign in code is 665008.</t>
        </is>
      </c>
      <c r="D1781"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665008.&lt;/title&gt; &lt;style type="text/css"&gt;  	p {margin:0px;margin-bo ...</t>
        </is>
      </c>
      <c r="E1781" s="7" t="inlineStr"/>
    </row>
    <row r="1782" ht="18" customHeight="1">
      <c r="A1782" s="2" t="inlineStr">
        <is>
          <t>GoDaddy &lt;donotreply@godaddy.com&gt;</t>
        </is>
      </c>
      <c r="B1782" s="3" t="inlineStr">
        <is>
          <t>donotreply@godaddy.com</t>
        </is>
      </c>
      <c r="C1782" s="2" t="inlineStr">
        <is>
          <t>Security Alert: Your one-time sign in code is 720573.</t>
        </is>
      </c>
      <c r="D1782"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720573.&lt;/title&gt; &lt;style type="text/css"&gt;  	p {margin:0px;margin-bo ...</t>
        </is>
      </c>
      <c r="E1782" s="4" t="inlineStr"/>
    </row>
    <row r="1783" ht="18" customHeight="1">
      <c r="A1783" s="5" t="inlineStr">
        <is>
          <t>mohammed bohasan &lt;mbohasan90@gmail.com&gt;</t>
        </is>
      </c>
      <c r="B1783" s="6" t="inlineStr">
        <is>
          <t>mbohasan90@gmail.com</t>
        </is>
      </c>
      <c r="C1783" s="5">
        <f>?utf-8?B?2KfZhtinINi12KfYrdioINmH2LDYpyDYp9mE2LHZgtmFIA==?=</f>
        <v/>
      </c>
      <c r="D1783" s="5" t="inlineStr">
        <is>
          <t>Hello! How can we help you?  i am this number please remove the name this name my family and private    انا صاحب هذا الرقم وهذا الاسم لايجوز بالناس معرفته لانه به اسامي اهلي   Report محمد (عايشة) : 55459095   Sent from my iPhone</t>
        </is>
      </c>
      <c r="E1783" s="7" t="inlineStr">
        <is>
          <t>55459095</t>
        </is>
      </c>
    </row>
    <row r="1784" ht="18" customHeight="1">
      <c r="A1784" s="2" t="inlineStr">
        <is>
          <t>GoDaddy &lt;donotreply@godaddy.com&gt;</t>
        </is>
      </c>
      <c r="B1784" s="3" t="inlineStr">
        <is>
          <t>donotreply@godaddy.com</t>
        </is>
      </c>
      <c r="C1784" s="2" t="inlineStr">
        <is>
          <t>Security Alert: Your one-time sign in code is 633470.</t>
        </is>
      </c>
      <c r="D1784" s="2"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&lt;title&gt;Security Alert: Your one-time sign in code is 633470.&lt;/title&gt; &lt;style type="text/css"&gt;  	p {margin:0px;margin-bo ...</t>
        </is>
      </c>
      <c r="E1784" s="4" t="inlineStr"/>
    </row>
    <row r="1785" ht="18" customHeight="1">
      <c r="A1785" s="5" t="inlineStr">
        <is>
          <t>GoDaddy &lt;donotreply@godaddy.com&gt;</t>
        </is>
      </c>
      <c r="B1785" s="6" t="inlineStr">
        <is>
          <t>donotreply@godaddy.com</t>
        </is>
      </c>
      <c r="C1785" s="5" t="inlineStr">
        <is>
          <t>Email Account Activity: New Sign-In detected for your account.</t>
        </is>
      </c>
      <c r="D1785" s="5" t="inlineStr">
        <is>
          <t>&lt;!--SUBJECTLINE--&gt;&lt;!DOCTYPE html PUBLIC "-//W3C//DTD XHTML 1.0 Transitional//EN" "https://www.w3.org/TR/xhtml1/DTD/xhtml1-transitional.dtd"&gt;&lt;html xmlns="https://www.w3.org/1999/xhtml" xmlns:v="urn:schemas-microsoft-com:vml"&gt;&lt;head&gt; &lt;meta http-equiv="Content-Type" content="text/html; charset=utf-8"&gt;&lt;meta https-equiv="Content-Type" content="text/html; charset=utf-8"&gt; &lt;!--[if !mso]&gt;&lt;!-- &lt;meta https-equiv="X-UA-Compatible" content="IE=edge" /&gt; &lt;!--&lt;![endif]--&gt; &lt;meta name="viewport" content="width=device-width, initial-scale=1.0"&gt; &lt;meta name="x-apple-disable-message-reformatting"&gt; &lt;title&gt;Email Account Activity: New Sign-In detected for your account.&lt;/title&gt; &lt;style type="text/css"&gt;  	p {margin:0px; ...</t>
        </is>
      </c>
      <c r="E1785" s="7" t="inlineStr"/>
    </row>
    <row r="1786" ht="18" customHeight="1">
      <c r="A1786" s="2" t="inlineStr">
        <is>
          <t>MR.Nasser ALFazeer &lt;nasser_alfazeer@hotmail.com&gt;</t>
        </is>
      </c>
      <c r="B1786" s="3" t="inlineStr">
        <is>
          <t>nasser_alfazeer@hotmail.com</t>
        </is>
      </c>
      <c r="C1786" s="2">
        <f>?utf-8?B?2KfZhNix2KzYp9ihINin2YTZhdiz2K0=?=</f>
        <v/>
      </c>
      <c r="D1786" s="2" t="inlineStr">
        <is>
          <t xml:space="preserve">Hello! How can we help you?  Report ناصر العازمي كاديلاك Ct6 : 50744993  mr. nasser alfazeer </t>
        </is>
      </c>
      <c r="E1786" s="4" t="inlineStr">
        <is>
          <t>50744993</t>
        </is>
      </c>
    </row>
    <row r="1787" ht="18" customHeight="1">
      <c r="A1787" s="5" t="inlineStr">
        <is>
          <t>MR.Nasser ALFazeer &lt;nasser_alfazeer@hotmail.com&gt;</t>
        </is>
      </c>
      <c r="B1787" s="6" t="inlineStr">
        <is>
          <t>nasser_alfazeer@hotmail.com</t>
        </is>
      </c>
      <c r="C1787" s="5">
        <f>?utf-8?B?2KfZhNix2KzYp9ihINmF2LPYrSDYp9mE2LnZhtmI2KfZhg==?=</f>
        <v/>
      </c>
      <c r="D1787" s="5" t="inlineStr">
        <is>
          <t xml:space="preserve">Hello! How can we help you?  Report المطلاع N4رقم224سد ابو بدر : 50744993  mr. nasser alfazeer </t>
        </is>
      </c>
      <c r="E1787" s="7" t="inlineStr">
        <is>
          <t>50744993</t>
        </is>
      </c>
    </row>
    <row r="1788" ht="18" customHeight="1">
      <c r="A1788" s="2" t="inlineStr">
        <is>
          <t>Khalid hajri &lt;khalidalhajri661@gmail.com&gt;</t>
        </is>
      </c>
      <c r="B1788" s="3" t="inlineStr">
        <is>
          <t>khalidalhajri661@gmail.com</t>
        </is>
      </c>
      <c r="C1788" s="2" t="inlineStr"/>
      <c r="D1788" s="2" t="inlineStr">
        <is>
          <t>Hello! How can we help you?  Report 3aha : 97400046   Sent from my iPhone</t>
        </is>
      </c>
      <c r="E1788" s="4" t="inlineStr">
        <is>
          <t>97400046</t>
        </is>
      </c>
    </row>
    <row r="1789" ht="18" customHeight="1">
      <c r="A1789" s="5" t="inlineStr">
        <is>
          <t>Khalid hajri &lt;khalidalhajri661@gmail.com&gt;</t>
        </is>
      </c>
      <c r="B1789" s="6" t="inlineStr">
        <is>
          <t>khalidalhajri661@gmail.com</t>
        </is>
      </c>
      <c r="C1789" s="5" t="inlineStr"/>
      <c r="D1789" s="5" t="inlineStr">
        <is>
          <t>Hello! How can we help you?  Report Khalid K. $ : 97400046   Sent from my iPhone</t>
        </is>
      </c>
      <c r="E1789" s="7" t="inlineStr">
        <is>
          <t>97400046</t>
        </is>
      </c>
    </row>
    <row r="1790" ht="18" customHeight="1">
      <c r="A1790" s="2" t="inlineStr">
        <is>
          <t>Khalid hajri &lt;khalidalhajri661@gmail.com&gt;</t>
        </is>
      </c>
      <c r="B1790" s="3" t="inlineStr">
        <is>
          <t>khalidalhajri661@gmail.com</t>
        </is>
      </c>
      <c r="C1790" s="2" t="inlineStr"/>
      <c r="D1790" s="2" t="inlineStr">
        <is>
          <t>Hello! How can we help you?  Report k $$$ $$$ : 97400046   Sent from my iPhone</t>
        </is>
      </c>
      <c r="E1790" s="4" t="inlineStr">
        <is>
          <t>97400046</t>
        </is>
      </c>
    </row>
    <row r="1791" ht="18" customHeight="1">
      <c r="A1791" s="5" t="inlineStr">
        <is>
          <t>Khalid hajri &lt;khalidalhajri661@gmail.com&gt;</t>
        </is>
      </c>
      <c r="B1791" s="6" t="inlineStr">
        <is>
          <t>khalidalhajri661@gmail.com</t>
        </is>
      </c>
      <c r="C1791" s="5" t="inlineStr"/>
      <c r="D1791" s="5" t="inlineStr">
        <is>
          <t>Hello! How can we help you?  Report Khalid K.$ : 97400046   Sent from my iPhone</t>
        </is>
      </c>
      <c r="E1791" s="7" t="inlineStr">
        <is>
          <t>97400046</t>
        </is>
      </c>
    </row>
    <row r="1792" ht="18" customHeight="1">
      <c r="A1792" s="2" t="inlineStr">
        <is>
          <t>hussain alshatti &lt;hsn1050@icloud.com&gt;</t>
        </is>
      </c>
      <c r="B1792" s="3" t="inlineStr">
        <is>
          <t>hsn1050@icloud.com</t>
        </is>
      </c>
      <c r="C1792" s="2" t="inlineStr"/>
      <c r="D1792" s="2" t="inlineStr">
        <is>
          <t>Hello! How can we help you?  Report متطفلين حسب بلاغات من بلدك KW :   Sent from my iPhone</t>
        </is>
      </c>
      <c r="E1792" s="4" t="inlineStr"/>
    </row>
    <row r="1793" ht="18" customHeight="1">
      <c r="A1793" s="5">
        <f>?utf-8?B?2LrYp9mE2Kgg2KfZhNmF2LfZitix2Yo=?= &lt;gfelmutairii@icloud.com&gt;</f>
        <v/>
      </c>
      <c r="B1793" s="6" t="inlineStr">
        <is>
          <t>gfelmutairii@icloud.com</t>
        </is>
      </c>
      <c r="C1793" s="5">
        <f>?utf-8?B?2YrYrdiq2YjZiiDYudmE2Ykg2YXYudmE2YjZhdin2Kog2LTYrti1?=  =?utf-8?B?2YrZhyDYrtin2LXZhw==?=</f>
        <v/>
      </c>
      <c r="D1793" s="5" t="inlineStr">
        <is>
          <t>ارجو ازاله هذا العنوان    Hello! How can we help you?  Report زبون ج ق4 بيوت الحكومة : 51710065   Sent from my iPhone</t>
        </is>
      </c>
      <c r="E1793" s="7" t="inlineStr">
        <is>
          <t>51710065</t>
        </is>
      </c>
    </row>
    <row r="1794" ht="18" customHeight="1">
      <c r="A1794" s="2">
        <f>?utf-8?B?2LbYp9mF2LEg2KfZhNi22KfZhdix?= &lt;dhameraldhamer@gmail.com&gt;</f>
        <v/>
      </c>
      <c r="B1794" s="3" t="inlineStr">
        <is>
          <t>dhameraldhamer@gmail.com</t>
        </is>
      </c>
      <c r="C1794" s="2" t="inlineStr">
        <is>
          <t>?</t>
        </is>
      </c>
      <c r="D1794" s="2" t="inlineStr">
        <is>
          <t>Hello! How can we help you?  Report شارجر : 99519090   ‫أُرسلت من الـ iPhone‬</t>
        </is>
      </c>
      <c r="E1794" s="4" t="inlineStr">
        <is>
          <t>99519090</t>
        </is>
      </c>
    </row>
    <row r="1795" ht="18" customHeight="1">
      <c r="A1795" s="5" t="inlineStr">
        <is>
          <t>beedoo.86@icloud.com</t>
        </is>
      </c>
      <c r="B1795" s="6" t="inlineStr">
        <is>
          <t>beedoo.86@icloud.com</t>
        </is>
      </c>
      <c r="C1795" s="5">
        <f>?utf-8?B?2KfZhNmG2KfYsyDYudix2YHZiCDYp9mE2LnZhtmI2KfZhiDYp9mE?=  =?utf-8?B?2K7Yp9i1INio2Yo=?=</f>
        <v/>
      </c>
      <c r="D1795" s="5" t="inlineStr">
        <is>
          <t>Hello! How can we help you?  Report عيون4ش7م47 : 97798986   Sent from my iPhone</t>
        </is>
      </c>
      <c r="E1795" s="7" t="inlineStr">
        <is>
          <t>97798986</t>
        </is>
      </c>
    </row>
    <row r="1796" ht="18" customHeight="1">
      <c r="A1796" s="2" t="inlineStr">
        <is>
          <t>khaled Albisher &lt;khaled132002@gmail.com&gt;</t>
        </is>
      </c>
      <c r="B1796" s="3" t="inlineStr">
        <is>
          <t>khaled132002@gmail.com</t>
        </is>
      </c>
      <c r="C1796" s="2">
        <f>?utf-8?B?2YPYp9iq2Kgg2LnZhtmI2KfZhiDYqNmK2KrZig==?=</f>
        <v/>
      </c>
      <c r="D1796" s="2" t="inlineStr">
        <is>
          <t>Hello! How can we help you?  Report ابو بشر العدان ق7 ش2 م56 : 69679797   Sent from my iPhone</t>
        </is>
      </c>
      <c r="E1796" s="4" t="inlineStr">
        <is>
          <t>69679797</t>
        </is>
      </c>
    </row>
    <row r="1797" ht="18" customHeight="1">
      <c r="A1797" s="5" t="inlineStr">
        <is>
          <t>retaj q8 &lt;retajq19@gmail.com&gt;</t>
        </is>
      </c>
      <c r="B1797" s="6" t="inlineStr">
        <is>
          <t>retajq19@gmail.com</t>
        </is>
      </c>
      <c r="C1797" s="5" t="inlineStr">
        <is>
          <t xml:space="preserve">Remove it argent </t>
        </is>
      </c>
      <c r="D1797" s="5" t="inlineStr">
        <is>
          <t xml:space="preserve">Hello! How can we help you?  Report ز الشهداء ق 3 ش 311 م 4 : 96951085  الرجاء امسح لان مكتوب عنوان المنزل  </t>
        </is>
      </c>
      <c r="E1797" s="7" t="inlineStr">
        <is>
          <t>96951085</t>
        </is>
      </c>
    </row>
    <row r="1798" ht="18" customHeight="1">
      <c r="A1798" s="2" t="inlineStr">
        <is>
          <t>Mohamed Abu salim &lt;mohamedabusalim271@gmail.com&gt;</t>
        </is>
      </c>
      <c r="B1798" s="3" t="inlineStr">
        <is>
          <t>mohamedabusalim271@gmail.com</t>
        </is>
      </c>
      <c r="C1798" s="2">
        <f>?UTF-8?B?2LfZhNioINit2LDZgSDYsdmC2YU1NTAzMTMwMA==?=</f>
        <v/>
      </c>
      <c r="D1798" s="2" t="inlineStr">
        <is>
          <t xml:space="preserve">الاسم غير لائق </t>
        </is>
      </c>
      <c r="E1798" s="4" t="inlineStr"/>
    </row>
    <row r="1799" ht="18" customHeight="1">
      <c r="A1799" s="5" t="inlineStr">
        <is>
          <t>Mohamed Abu salim &lt;mohamedabusalim271@gmail.com&gt;</t>
        </is>
      </c>
      <c r="B1799" s="6" t="inlineStr">
        <is>
          <t>mohamedabusalim271@gmail.com</t>
        </is>
      </c>
      <c r="C1799" s="5">
        <f>?UTF-8?B?2LfZhNioINit2LDZgSDYsdmC2YU1NTAzMTMwMA==?=</f>
        <v/>
      </c>
      <c r="D1799" s="5" t="inlineStr">
        <is>
          <t xml:space="preserve">غير لاث </t>
        </is>
      </c>
      <c r="E1799" s="7" t="inlineStr"/>
    </row>
    <row r="1800" ht="18" customHeight="1">
      <c r="A1800" s="2" t="inlineStr">
        <is>
          <t>S O &lt;sb775@hotmail.com&gt;</t>
        </is>
      </c>
      <c r="B1800" s="3" t="inlineStr">
        <is>
          <t>sb775@hotmail.com</t>
        </is>
      </c>
      <c r="C1800" s="2">
        <f>?utf-8?B?2YjZitmGINiv2LnZhSDYp9mE2LnZhdmE2KfYoSDZhNin2YrZiNis2K8g2LE=?=  =?utf-8?B?2K8g?=</f>
        <v/>
      </c>
      <c r="D1800" s="2" t="inlineStr">
        <is>
          <t xml:space="preserve">﻿ ﻿  Hello! How can we help you?  وين دعم العملاء لايوجد رد ارسلت لكم اكثر من مرة و عن طريق ايميلين ‫أُرسلت من الـ iPhone‬  ‫أُرسلت من الـ iPhone‬ </t>
        </is>
      </c>
      <c r="E1800" s="4" t="inlineStr"/>
    </row>
    <row r="1801" ht="18" customHeight="1">
      <c r="A1801" s="5" t="inlineStr">
        <is>
          <t>Norah Alsalem &lt;alsalem67@outlook.com&gt;</t>
        </is>
      </c>
      <c r="B1801" s="6" t="inlineStr">
        <is>
          <t>alsalem67@outlook.com</t>
        </is>
      </c>
      <c r="C1801" s="5">
        <f>?utf-8?B?2KfZhNix2KzYp9ihINit2LDZgSDYqNmK2KfZhtin2Kog2KfZhNix2YLZhQ==?=</f>
        <v/>
      </c>
      <c r="D1801" s="5" t="inlineStr">
        <is>
          <t xml:space="preserve">Hello! How can we help you?  Report نوره جابر : 99165763  Sent from my iPhone </t>
        </is>
      </c>
      <c r="E1801" s="7" t="inlineStr">
        <is>
          <t>99165763</t>
        </is>
      </c>
    </row>
    <row r="1802" ht="18" customHeight="1">
      <c r="A1802" s="2" t="inlineStr">
        <is>
          <t>Nora Alsh &lt;nono_jojo_7@icloud.com&gt;</t>
        </is>
      </c>
      <c r="B1802" s="3" t="inlineStr">
        <is>
          <t>nono_jojo_7@icloud.com</t>
        </is>
      </c>
      <c r="C1802" s="2">
        <f>?utf-8?B?2KfZhNix2KzYp9ihINit2LDZgSDYqNmK2KfZhtin2Kog2KfZhNix?=  =?utf-8?B?2YLZhQ==?=</f>
        <v/>
      </c>
      <c r="D1802" s="2" t="inlineStr">
        <is>
          <t>Hello! How can we help you?  Report علي اخوي : 99165763   Sent from my iPhone</t>
        </is>
      </c>
      <c r="E1802" s="4" t="inlineStr">
        <is>
          <t>99165763</t>
        </is>
      </c>
    </row>
    <row r="1803" ht="18" customHeight="1">
      <c r="A1803" s="5" t="inlineStr">
        <is>
          <t>aziz Almkmya &lt;almkmyaaziz@gmail.com&gt;</t>
        </is>
      </c>
      <c r="B1803" s="6" t="inlineStr">
        <is>
          <t>almkmyaaziz@gmail.com</t>
        </is>
      </c>
      <c r="C1803" s="5">
        <f>?utf-8?B?2K3YsNmBINin2YTYp9iz2YUg2YfYsNin?=</f>
        <v/>
      </c>
      <c r="D1803" s="5" t="inlineStr">
        <is>
          <t>Hello! How can we help you?  Report كاششش : 98811745   ‫أُرسلت من الـ iPhone‬</t>
        </is>
      </c>
      <c r="E1803" s="7" t="inlineStr">
        <is>
          <t>98811745</t>
        </is>
      </c>
    </row>
    <row r="1804" ht="18" customHeight="1">
      <c r="A1804" s="2" t="inlineStr">
        <is>
          <t>Saud Almutairi &lt;s3odalmutairi99@icloud.com&gt;</t>
        </is>
      </c>
      <c r="B1804" s="3" t="inlineStr">
        <is>
          <t>s3odalmutairi99@icloud.com</t>
        </is>
      </c>
      <c r="C1804" s="2">
        <f>?utf-8?B?2KfYs9mFINi62YrYsSDZhNin2KbZgiDZhNmK?=</f>
        <v/>
      </c>
      <c r="D1804" s="2" t="inlineStr">
        <is>
          <t>Hello! How can we help you?  Report سعود سديق الهدهد : 98548299    ‫أُرسلت من الـ iPhone‬</t>
        </is>
      </c>
      <c r="E1804" s="4" t="inlineStr">
        <is>
          <t>98548299</t>
        </is>
      </c>
    </row>
    <row r="1805" ht="18" customHeight="1">
      <c r="A1805" s="5" t="inlineStr">
        <is>
          <t>fahad alsaad &lt;fahadalsaad1989@hotmail.com&gt;</t>
        </is>
      </c>
      <c r="B1805" s="6" t="inlineStr">
        <is>
          <t>fahadalsaad1989@hotmail.com</t>
        </is>
      </c>
      <c r="C1805" s="5" t="inlineStr"/>
      <c r="D1805" s="5" t="inlineStr">
        <is>
          <t xml:space="preserve">Hello! How can we help you?  Report سعد عبدالرزاق ظاهر زين : 99907133  Sent from my iPhone </t>
        </is>
      </c>
      <c r="E1805" s="7" t="inlineStr">
        <is>
          <t>99907133</t>
        </is>
      </c>
    </row>
    <row r="1806" ht="18" customHeight="1">
      <c r="A1806" s="2" t="inlineStr">
        <is>
          <t>fahad alsaad &lt;fahadalsaad1989@hotmail.com&gt;</t>
        </is>
      </c>
      <c r="B1806" s="3" t="inlineStr">
        <is>
          <t>fahadalsaad1989@hotmail.com</t>
        </is>
      </c>
      <c r="C1806" s="2" t="inlineStr"/>
      <c r="D1806" s="2" t="inlineStr">
        <is>
          <t xml:space="preserve">Hello! How can we help you?  Report فهد اخو رائد- : 99907133  Sent from my iPhone </t>
        </is>
      </c>
      <c r="E1806" s="4" t="inlineStr">
        <is>
          <t>99907133</t>
        </is>
      </c>
    </row>
    <row r="1807" ht="18" customHeight="1">
      <c r="A1807" s="5" t="inlineStr">
        <is>
          <t>S O &lt;sb775@hotmail.com&gt;</t>
        </is>
      </c>
      <c r="B1807" s="6" t="inlineStr">
        <is>
          <t>sb775@hotmail.com</t>
        </is>
      </c>
      <c r="C1807" s="5">
        <f>?utf-8?B?2YjZitmGINiv2LnZhSDYp9mE2LnZhdmE2KfYoSDZhNin2YrZiNis2K8g2LE=?=  =?utf-8?B?2K8g?=</f>
        <v/>
      </c>
      <c r="D1807" s="5" t="inlineStr">
        <is>
          <t xml:space="preserve">وين دعم العملاء لايوجد رد ارسلت لكم اكثر من ايميل محد رد علي ارجو الرد لضرورة ‫أُرسلت من الـ iPhone‬ </t>
        </is>
      </c>
      <c r="E1807" s="7" t="inlineStr"/>
    </row>
    <row r="1808" ht="18" customHeight="1">
      <c r="A1808" s="2" t="inlineStr">
        <is>
          <t>ALya Al &lt;alalya750@gmail.com&gt;</t>
        </is>
      </c>
      <c r="B1808" s="3" t="inlineStr">
        <is>
          <t>alalya750@gmail.com</t>
        </is>
      </c>
      <c r="C1808" s="2" t="inlineStr"/>
      <c r="D1808" s="2" t="inlineStr">
        <is>
          <t>Hello! How can we help you?  Report Psycho- : 99031369   Sent from my iPhone</t>
        </is>
      </c>
      <c r="E1808" s="4" t="inlineStr">
        <is>
          <t>99031369</t>
        </is>
      </c>
    </row>
    <row r="1809" ht="18" customHeight="1">
      <c r="A1809" s="5" t="inlineStr">
        <is>
          <t>ALya Al &lt;alalya750@gmail.com&gt;</t>
        </is>
      </c>
      <c r="B1809" s="6" t="inlineStr">
        <is>
          <t>alalya750@gmail.com</t>
        </is>
      </c>
      <c r="C1809" s="5" t="inlineStr"/>
      <c r="D1809" s="5" t="inlineStr">
        <is>
          <t>Hello! How can we help you?  Report عنزيه 33 مدرسه : 99031369   Sent from my iPhone</t>
        </is>
      </c>
      <c r="E1809" s="7" t="inlineStr">
        <is>
          <t>99031369</t>
        </is>
      </c>
    </row>
    <row r="1810" ht="18" customHeight="1">
      <c r="A1810" s="2" t="inlineStr">
        <is>
          <t>Maryam AlAwadhi &lt;maryom.al3wadhi@gmail.com&gt;</t>
        </is>
      </c>
      <c r="B1810" s="3" t="inlineStr">
        <is>
          <t>maryom.al3wadhi@gmail.com</t>
        </is>
      </c>
      <c r="C1810" s="2">
        <f>?UTF-8?B?UmU6INmF2K7Yp9mE2YHYqSDYrti12YjYtdmK2Yc=?=</f>
        <v/>
      </c>
      <c r="D1810" s="2" t="inlineStr">
        <is>
          <t xml:space="preserve">On Fri, 3 Oct 2025 at 11:01 PM Maryam AlAwadhi &lt;maryom.al3wadhi@gmail.com&gt; wrote:  &gt; عفوا البرنامج موضح اسمي الكامل مع عنوان البيت والرقم المدني هذي خصوصيه &gt; شلون تنعرض </t>
        </is>
      </c>
      <c r="E1810" s="4" t="inlineStr"/>
    </row>
    <row r="1811" ht="18" customHeight="1">
      <c r="A1811" s="5" t="inlineStr">
        <is>
          <t>Maryam abdullah &lt;pazzainter944@icloud.com&gt;</t>
        </is>
      </c>
      <c r="B1811" s="6" t="inlineStr">
        <is>
          <t>pazzainter944@icloud.com</t>
        </is>
      </c>
      <c r="C1811" s="5" t="inlineStr">
        <is>
          <t>Report</t>
        </is>
      </c>
      <c r="D1811" s="5" t="inlineStr">
        <is>
          <t xml:space="preserve">Hello! How can we help you?  I just bought this number and found this i don’t anyone to take bad idea about me  Report سمره وحلوه : 94198591   </t>
        </is>
      </c>
      <c r="E1811" s="7" t="inlineStr">
        <is>
          <t>94198591</t>
        </is>
      </c>
    </row>
    <row r="1812" ht="18" customHeight="1">
      <c r="A1812" s="2" t="inlineStr">
        <is>
          <t>Maha Alotaibi &lt;mh_alt@hotmail.com&gt;</t>
        </is>
      </c>
      <c r="B1812" s="3" t="inlineStr">
        <is>
          <t>mh_alt@hotmail.com</t>
        </is>
      </c>
      <c r="C1812" s="2" t="inlineStr">
        <is>
          <t>How can you help?</t>
        </is>
      </c>
      <c r="D1812" s="2" t="inlineStr">
        <is>
          <t xml:space="preserve">Hello! How can we help you?  Report زفته- : 97912171  Thanks Maha </t>
        </is>
      </c>
      <c r="E1812" s="4" t="inlineStr">
        <is>
          <t>97912171</t>
        </is>
      </c>
    </row>
    <row r="1813" ht="18" customHeight="1">
      <c r="A1813" s="5" t="inlineStr">
        <is>
          <t>Futoun Abdullah &lt;futounalkandery@icloud.com&gt;</t>
        </is>
      </c>
      <c r="B1813" s="6" t="inlineStr">
        <is>
          <t>futounalkandery@icloud.com</t>
        </is>
      </c>
      <c r="C1813" s="5">
        <f>?utf-8?B?2LHYrNin2KHZi9inINit2LDZgSDZh9in2YTYp9iz2YUg2YXZhiA=?=  =?utf-8?B?2LHZgtmF2YogIQ==?=</f>
        <v/>
      </c>
      <c r="D1813" s="5" t="inlineStr">
        <is>
          <t xml:space="preserve">Hello! How can we help you?  Report Ftno Rfejat Khlod : 94008208  </t>
        </is>
      </c>
      <c r="E1813" s="7" t="inlineStr">
        <is>
          <t>94008208</t>
        </is>
      </c>
    </row>
    <row r="1814" ht="18" customHeight="1">
      <c r="A1814" s="2" t="inlineStr">
        <is>
          <t>shouglenezii@icloud.com</t>
        </is>
      </c>
      <c r="B1814" s="3" t="inlineStr">
        <is>
          <t>shouglenezii@icloud.com</t>
        </is>
      </c>
      <c r="C1814" s="2" t="inlineStr"/>
      <c r="D1814" s="2" t="inlineStr">
        <is>
          <t>Hello! How can we help you?  Report خلفي : 69975669   ‫أُرسلت من الـ iPhone‬</t>
        </is>
      </c>
      <c r="E1814" s="4" t="inlineStr">
        <is>
          <t>69975669</t>
        </is>
      </c>
    </row>
    <row r="1815" ht="18" customHeight="1">
      <c r="A1815" s="5" t="inlineStr">
        <is>
          <t>Gmc Gmc &lt;gmc45484@gmail.com&gt;</t>
        </is>
      </c>
      <c r="B1815" s="6" t="inlineStr">
        <is>
          <t>gmc45484@gmail.com</t>
        </is>
      </c>
      <c r="C1815" s="5">
        <f>?utf-8?B?2LPZhNin2YUg2LnZhNmK2YPZhSDYp9io2Yog2KfYtNmK2YQg2LE=?=  =?utf-8?B?2YLZhdmKINmF2YYg2KfZhNio2K3YqyA=?=</f>
        <v/>
      </c>
      <c r="D1815" s="5" t="inlineStr">
        <is>
          <t>Hello! How can we help you?   ‫أُرسلت من الـ iPhone‬</t>
        </is>
      </c>
      <c r="E1815" s="7" t="inlineStr"/>
    </row>
    <row r="1816" ht="18" customHeight="1">
      <c r="A1816" s="2" t="inlineStr">
        <is>
          <t>Gmc Gmc &lt;gmc45484@gmail.com&gt;</t>
        </is>
      </c>
      <c r="B1816" s="3" t="inlineStr">
        <is>
          <t>gmc45484@gmail.com</t>
        </is>
      </c>
      <c r="C1816" s="2" t="inlineStr"/>
      <c r="D1816" s="2" t="inlineStr">
        <is>
          <t>Hello! How can we help you?   ‫أُرسلت من الـ iPhone‬</t>
        </is>
      </c>
      <c r="E1816" s="4" t="inlineStr"/>
    </row>
    <row r="1817" ht="18" customHeight="1">
      <c r="A1817" s="5" t="inlineStr">
        <is>
          <t>Faisal Al Senan &lt;faisalalsenan@gmail.com&gt;</t>
        </is>
      </c>
      <c r="B1817" s="6" t="inlineStr">
        <is>
          <t>faisalalsenan@gmail.com</t>
        </is>
      </c>
      <c r="C1817" s="5">
        <f>?utf-8?Q?=D9=85=D8=B3=D8=AD_=D8=A8=D9=8A=D8=A7=D9=86=D8=A7?=  =?utf-8?Q?=D8=AA_=D8=B1=D9=82=D9=85=D9=8A_55296262?=</f>
        <v/>
      </c>
      <c r="D1817" s="5" t="inlineStr">
        <is>
          <t>Hello! How can we help you?  Report اسماء الفوزان- : 55296262   ‫أُرسلت من الـ iPhone‬</t>
        </is>
      </c>
      <c r="E1817" s="7" t="inlineStr">
        <is>
          <t>55296262</t>
        </is>
      </c>
    </row>
    <row r="1818" ht="18" customHeight="1">
      <c r="A1818" s="2" t="inlineStr">
        <is>
          <t>Faisal Al Senan &lt;faisalalsenan@gmail.com&gt;</t>
        </is>
      </c>
      <c r="B1818" s="3" t="inlineStr">
        <is>
          <t>faisalalsenan@gmail.com</t>
        </is>
      </c>
      <c r="C1818" s="2">
        <f>?utf-8?B?2YXYs9itINio2YrYp9mG2KfYqiDYsdmC2YXZig==?=</f>
        <v/>
      </c>
      <c r="D1818" s="2" t="inlineStr">
        <is>
          <t>Hello! How can we help you?  Report اسماء الفوزان- : 55296262   ‫أُرسلت من الـ iPhone‬</t>
        </is>
      </c>
      <c r="E1818" s="4" t="inlineStr">
        <is>
          <t>55296262</t>
        </is>
      </c>
    </row>
    <row r="1819" ht="18" customHeight="1">
      <c r="A1819" s="5" t="inlineStr">
        <is>
          <t>Faisal Al Senan &lt;faisalalsenan@gmail.com&gt;</t>
        </is>
      </c>
      <c r="B1819" s="6" t="inlineStr">
        <is>
          <t>faisalalsenan@gmail.com</t>
        </is>
      </c>
      <c r="C1819" s="5">
        <f>?utf-8?B?2YXYs9itINio2YrYp9mG2KfYqiDYsdmC2YXZig==?=</f>
        <v/>
      </c>
      <c r="D1819" s="5" t="inlineStr">
        <is>
          <t>Hello! How can we help you?  Report اسماء الفوزان- : 55296262   ‫أُرسلت من الـ iPhone‬</t>
        </is>
      </c>
      <c r="E1819" s="7" t="inlineStr">
        <is>
          <t>55296262</t>
        </is>
      </c>
    </row>
    <row r="1820" ht="18" customHeight="1">
      <c r="A1820" s="2" t="inlineStr">
        <is>
          <t>Faisal Al Senan &lt;faisalalsenan@gmail.com&gt;</t>
        </is>
      </c>
      <c r="B1820" s="3" t="inlineStr">
        <is>
          <t>faisalalsenan@gmail.com</t>
        </is>
      </c>
      <c r="C1820" s="2">
        <f>?utf-8?B?2YXYs9itINio2YrYp9mG2KfYqiDYsdmC2YXZiiDYp9mE2KvYp9mG?=  =?utf-8?B?2Yo=?=</f>
        <v/>
      </c>
      <c r="D1820" s="2" t="inlineStr">
        <is>
          <t>Hello! How can we help you?  Report Fajora- : 99799001   ‫أُرسلت من الـ iPhone‬</t>
        </is>
      </c>
      <c r="E1820" s="4" t="inlineStr">
        <is>
          <t>99799001</t>
        </is>
      </c>
    </row>
    <row r="1821" ht="18" customHeight="1">
      <c r="A1821" s="5" t="inlineStr">
        <is>
          <t>Faisal Al Senan &lt;faisalalsenan@gmail.com&gt;</t>
        </is>
      </c>
      <c r="B1821" s="6" t="inlineStr">
        <is>
          <t>faisalalsenan@gmail.com</t>
        </is>
      </c>
      <c r="C1821" s="5">
        <f>?utf-8?B?2YXYs9itINio2YrYp9mG2KfYqiDYsdmC2YXZig==?=</f>
        <v/>
      </c>
      <c r="D1821" s="5" t="inlineStr">
        <is>
          <t>Hello! How can we help you?  Report Fajora- : 99799001   ‫أُرسلت من الـ iPhone‬</t>
        </is>
      </c>
      <c r="E1821" s="7" t="inlineStr">
        <is>
          <t>99799001</t>
        </is>
      </c>
    </row>
    <row r="1822" ht="18" customHeight="1">
      <c r="A1822" s="2" t="inlineStr">
        <is>
          <t>Faisal Al Senan &lt;faisalalsenan@gmail.com&gt;</t>
        </is>
      </c>
      <c r="B1822" s="3" t="inlineStr">
        <is>
          <t>faisalalsenan@gmail.com</t>
        </is>
      </c>
      <c r="C1822" s="2">
        <f>?utf-8?B?2YXYs9itINio2YrYp9mG2KfYqiDYsdmC2YXZig==?=</f>
        <v/>
      </c>
      <c r="D1822" s="2" t="inlineStr">
        <is>
          <t>Hello! How can we help you?  Report Fajora- : 99799001   ‫أُرسلت من الـ iPhone‬</t>
        </is>
      </c>
      <c r="E1822" s="4" t="inlineStr">
        <is>
          <t>99799001</t>
        </is>
      </c>
    </row>
    <row r="1823" ht="18" customHeight="1">
      <c r="A1823" s="5" t="inlineStr">
        <is>
          <t>Faisal Aldaihani &lt;soldar81@icloud.com&gt;</t>
        </is>
      </c>
      <c r="B1823" s="6" t="inlineStr">
        <is>
          <t>soldar81@icloud.com</t>
        </is>
      </c>
      <c r="C1823" s="5">
        <f>?utf-8?B?2YTZitizINin2LPZhdmKIA==?=</f>
        <v/>
      </c>
      <c r="D1823" s="5" t="inlineStr">
        <is>
          <t>Hello! How can we help you?  Report -ال فيصل المالج الصباح : 55556641  ارجو ازاله هذا الاسم هذا الاسم لايعنيني Sent from my iPhone</t>
        </is>
      </c>
      <c r="E1823" s="7" t="inlineStr">
        <is>
          <t>55556641</t>
        </is>
      </c>
    </row>
    <row r="1824" ht="18" customHeight="1">
      <c r="A1824" s="2" t="inlineStr">
        <is>
          <t>abdullah A &lt;ab5424aiooa@gmail.com&gt;</t>
        </is>
      </c>
      <c r="B1824" s="3" t="inlineStr">
        <is>
          <t>ab5424aiooa@gmail.com</t>
        </is>
      </c>
      <c r="C1824" s="2">
        <f>?utf-8?B?4oCPINin2YTZg9ix2KfZh9mK2Kkg2YjYp9mE2KPYs9mJ?=</f>
        <v/>
      </c>
      <c r="D1824" s="2" t="inlineStr">
        <is>
          <t>Hello! How can we help you?  Report عبدالله طيطه : 99034077   ‫أُرسلت من الـ iPhone‬</t>
        </is>
      </c>
      <c r="E1824" s="4" t="inlineStr">
        <is>
          <t>99034077</t>
        </is>
      </c>
    </row>
    <row r="1825" ht="18" customHeight="1">
      <c r="A1825" s="5" t="inlineStr">
        <is>
          <t>Dim Alt &lt;dim.alt.90@icloud.com&gt;</t>
        </is>
      </c>
      <c r="B1825" s="6" t="inlineStr">
        <is>
          <t>dim.alt.90@icloud.com</t>
        </is>
      </c>
      <c r="C1825" s="5" t="inlineStr">
        <is>
          <t>Please remove wrong name</t>
        </is>
      </c>
      <c r="D1825" s="5" t="inlineStr">
        <is>
          <t>Hello! How can we help you?  Report ق3 ب ش8 م125د2ش5 شر الجابرية : 55110111   Sent from my iPhone</t>
        </is>
      </c>
      <c r="E1825" s="7" t="inlineStr">
        <is>
          <t>55110111</t>
        </is>
      </c>
    </row>
    <row r="1826" ht="18" customHeight="1">
      <c r="A1826" s="2" t="inlineStr">
        <is>
          <t>Dim Alt &lt;dim.alt.90@icloud.com&gt;</t>
        </is>
      </c>
      <c r="B1826" s="3" t="inlineStr">
        <is>
          <t>dim.alt.90@icloud.com</t>
        </is>
      </c>
      <c r="C1826" s="2" t="inlineStr">
        <is>
          <t>Not right name please deletw</t>
        </is>
      </c>
      <c r="D1826" s="2" t="inlineStr">
        <is>
          <t>Hello! How can we help you?  Report جيبه للبيع صالون : 55110111   Sent from my iPhone</t>
        </is>
      </c>
      <c r="E1826" s="4" t="inlineStr">
        <is>
          <t>55110111</t>
        </is>
      </c>
    </row>
    <row r="1827" ht="18" customHeight="1">
      <c r="A1827" s="5" t="inlineStr">
        <is>
          <t>Dim Alt &lt;dim.alt.90@icloud.com&gt;</t>
        </is>
      </c>
      <c r="B1827" s="6" t="inlineStr">
        <is>
          <t>dim.alt.90@icloud.com</t>
        </is>
      </c>
      <c r="C1827" s="5" t="inlineStr">
        <is>
          <t>Not right name please remove</t>
        </is>
      </c>
      <c r="D1827" s="5" t="inlineStr">
        <is>
          <t>Hello! How can we help you?  Report Salon4sale : 55110111   Sent from my iPhone</t>
        </is>
      </c>
      <c r="E1827" s="7" t="inlineStr">
        <is>
          <t>55110111</t>
        </is>
      </c>
    </row>
    <row r="1828" ht="18" customHeight="1">
      <c r="A1828" s="2" t="inlineStr">
        <is>
          <t>Dim Alt &lt;dim.alt.90@icloud.com&gt;</t>
        </is>
      </c>
      <c r="B1828" s="3" t="inlineStr">
        <is>
          <t>dim.alt.90@icloud.com</t>
        </is>
      </c>
      <c r="C1828" s="2" t="inlineStr">
        <is>
          <t xml:space="preserve">Not right name </t>
        </is>
      </c>
      <c r="D1828" s="2" t="inlineStr">
        <is>
          <t>Hello! How can we help you?  Report موسيقى صالونات : 55110111   Sent from my iPhone</t>
        </is>
      </c>
      <c r="E1828" s="4" t="inlineStr">
        <is>
          <t>55110111</t>
        </is>
      </c>
    </row>
    <row r="1829" ht="18" customHeight="1">
      <c r="A1829" s="5" t="inlineStr">
        <is>
          <t>Dim Alt &lt;dim.alt.90@icloud.com&gt;</t>
        </is>
      </c>
      <c r="B1829" s="6" t="inlineStr">
        <is>
          <t>dim.alt.90@icloud.com</t>
        </is>
      </c>
      <c r="C1829" s="5" t="inlineStr">
        <is>
          <t>Not right</t>
        </is>
      </c>
      <c r="D1829" s="5" t="inlineStr">
        <is>
          <t>Hello! How can we help you?  Report ازهر : 55110111   Sent from my iPhone</t>
        </is>
      </c>
      <c r="E1829" s="7" t="inlineStr">
        <is>
          <t>55110111</t>
        </is>
      </c>
    </row>
    <row r="1830" ht="18" customHeight="1">
      <c r="A1830" s="2" t="inlineStr">
        <is>
          <t>Microsoft Security &lt;MSSecurity-noreply@microsoft.com&gt;</t>
        </is>
      </c>
      <c r="B1830" s="3" t="inlineStr">
        <is>
          <t>MSSecurity-noreply@microsoft.com</t>
        </is>
      </c>
      <c r="C1830" s="2" t="inlineStr">
        <is>
          <t>New recommendation available for menodag.com</t>
        </is>
      </c>
      <c r="D1830" s="2" t="inlineStr"/>
      <c r="E1830" s="4" t="inlineStr"/>
    </row>
    <row r="1831" ht="18" customHeight="1">
      <c r="A1831" s="5" t="inlineStr">
        <is>
          <t>Microsoft Security &lt;MSSecurity-noreply@microsoft.com&gt;</t>
        </is>
      </c>
      <c r="B1831" s="6" t="inlineStr">
        <is>
          <t>MSSecurity-noreply@microsoft.com</t>
        </is>
      </c>
      <c r="C1831" s="5" t="inlineStr">
        <is>
          <t>New recommendation available for menodag.com</t>
        </is>
      </c>
      <c r="D1831" s="5" t="inlineStr"/>
      <c r="E1831" s="7" t="inlineStr"/>
    </row>
    <row r="1832" ht="18" customHeight="1">
      <c r="A1832" s="2" t="inlineStr">
        <is>
          <t>Microsoft Security &lt;MSSecurity-noreply@microsoft.com&gt;</t>
        </is>
      </c>
      <c r="B1832" s="3" t="inlineStr">
        <is>
          <t>MSSecurity-noreply@microsoft.com</t>
        </is>
      </c>
      <c r="C1832" s="2" t="inlineStr">
        <is>
          <t>New recommendation available for menodag.com</t>
        </is>
      </c>
      <c r="D1832" s="2" t="inlineStr"/>
      <c r="E1832" s="4" t="inlineStr"/>
    </row>
    <row r="1833" ht="18" customHeight="1">
      <c r="A1833" s="5">
        <f>?utf-8?B?2YXYrdmF2K8g2KfZhNiv2YXYp9mD?= &lt;m7md_2006_6@icloud.com&gt;</f>
        <v/>
      </c>
      <c r="B1833" s="6" t="inlineStr">
        <is>
          <t>m7md_2006_6@icloud.com</t>
        </is>
      </c>
      <c r="C1833" s="5">
        <f>?utf-8?B?2YfYsNinINin2YTYsdis2YQg2YPYp9iq2Kgg2LnZhNmJINix2YI=?=  =?utf-8?B?2YXZiiDYstio2YjZhiDYtdi62YrYsSDZiNin2KrZhdmG2Ykg2Kc=?=  =?utf-8?B?2LLYp9mE2Kog2YfYsNinINmF2Ygg2KfZhNio2LHZhtin2YXYrA==?=</f>
        <v/>
      </c>
      <c r="D1833" s="5" t="inlineStr">
        <is>
          <t xml:space="preserve">Hello! How can we help you?  Report زبون صغير : 56539951   ‫أُرسلت من الـ iPhone‬  </t>
        </is>
      </c>
      <c r="E1833" s="7" t="inlineStr">
        <is>
          <t>56539951</t>
        </is>
      </c>
    </row>
    <row r="1834" ht="18" customHeight="1">
      <c r="A1834" s="2">
        <f>?utf-8?B?2YXYrdmF2K8g2KfZhNiv2YXYp9mD?= &lt;m7md_2006_6@icloud.com&gt;</f>
        <v/>
      </c>
      <c r="B1834" s="3" t="inlineStr">
        <is>
          <t>m7md_2006_6@icloud.com</t>
        </is>
      </c>
      <c r="C1834" s="2" t="inlineStr"/>
      <c r="D1834" s="2" t="inlineStr">
        <is>
          <t>Hello! How can we help you?  Report زبون صغير : 56539951   ‫أُرسلت من الـ iPhone‬</t>
        </is>
      </c>
      <c r="E1834" s="4" t="inlineStr">
        <is>
          <t>56539951</t>
        </is>
      </c>
    </row>
    <row r="1835" ht="18" customHeight="1">
      <c r="A1835" s="5" t="inlineStr">
        <is>
          <t>aisha bu qmasha &lt;aisha.buqmasha@icloud.com&gt;</t>
        </is>
      </c>
      <c r="B1835" s="6" t="inlineStr">
        <is>
          <t>aisha.buqmasha@icloud.com</t>
        </is>
      </c>
      <c r="C1835" s="5" t="inlineStr"/>
      <c r="D1835" s="5" t="inlineStr">
        <is>
          <t>Hello! How can we help you?  Report دادى شوقر تعرفنى من سناب من : 65511998   Sent from my iPhone</t>
        </is>
      </c>
      <c r="E1835" s="7" t="inlineStr">
        <is>
          <t>65511998</t>
        </is>
      </c>
    </row>
    <row r="1836" ht="18" customHeight="1">
      <c r="A1836" s="2" t="inlineStr">
        <is>
          <t>kwt &lt;azizkwt483@gmail.com&gt;</t>
        </is>
      </c>
      <c r="B1836" s="3" t="inlineStr">
        <is>
          <t>azizkwt483@gmail.com</t>
        </is>
      </c>
      <c r="C1836" s="2">
        <f>?utf-8?B?2KfZhNix2KzYp9ihINmF2LPYrSDZh9iw2Kcg2KfZhNmE2YLYqA==?=</f>
        <v/>
      </c>
      <c r="D1836" s="2" t="inlineStr">
        <is>
          <t>Hello! How can we help you?  Report كوكي الدجاجه : 65022241   ‫أُرسلت من الـ iPhone‬</t>
        </is>
      </c>
      <c r="E1836" s="4" t="inlineStr">
        <is>
          <t>65022241</t>
        </is>
      </c>
    </row>
    <row r="1837" ht="18" customHeight="1">
      <c r="A1837" s="5" t="inlineStr">
        <is>
          <t>Mohammed Almkainzi &lt;almkainzim@gmail.com&gt;</t>
        </is>
      </c>
      <c r="B1837" s="6" t="inlineStr">
        <is>
          <t>almkainzim@gmail.com</t>
        </is>
      </c>
      <c r="C1837" s="5" t="inlineStr">
        <is>
          <t>Report</t>
        </is>
      </c>
      <c r="D1837" s="5" t="inlineStr">
        <is>
          <t xml:space="preserve"> Report سيديات عبدالمحسن- : 99896978  </t>
        </is>
      </c>
      <c r="E1837" s="7" t="inlineStr">
        <is>
          <t>99896978</t>
        </is>
      </c>
    </row>
    <row r="1838" ht="18" customHeight="1">
      <c r="A1838" s="2" t="inlineStr">
        <is>
          <t>Mohammed Almkainzi &lt;almkainzim@gmail.com&gt;</t>
        </is>
      </c>
      <c r="B1838" s="3" t="inlineStr">
        <is>
          <t>almkainzim@gmail.com</t>
        </is>
      </c>
      <c r="C1838" s="2" t="inlineStr">
        <is>
          <t>Report</t>
        </is>
      </c>
      <c r="D1838" s="2" t="inlineStr">
        <is>
          <t xml:space="preserve"> Report زبون لوياك- : 99896978  </t>
        </is>
      </c>
      <c r="E1838" s="4" t="inlineStr">
        <is>
          <t>99896978</t>
        </is>
      </c>
    </row>
    <row r="1839" ht="18" customHeight="1">
      <c r="A1839" s="5" t="inlineStr">
        <is>
          <t>Mohammed Almkainzi &lt;almkainzim@gmail.com&gt;</t>
        </is>
      </c>
      <c r="B1839" s="6" t="inlineStr">
        <is>
          <t>almkainzim@gmail.com</t>
        </is>
      </c>
      <c r="C1839" s="5" t="inlineStr">
        <is>
          <t>Report</t>
        </is>
      </c>
      <c r="D1839" s="5" t="inlineStr">
        <is>
          <t xml:space="preserve"> Report Ana- : 99896978  </t>
        </is>
      </c>
      <c r="E1839" s="7" t="inlineStr">
        <is>
          <t>99896978</t>
        </is>
      </c>
    </row>
    <row r="1840" ht="18" customHeight="1">
      <c r="A1840" s="2" t="inlineStr">
        <is>
          <t>Mohammed Almkainzi &lt;almkainzim@gmail.com&gt;</t>
        </is>
      </c>
      <c r="B1840" s="3" t="inlineStr">
        <is>
          <t>almkainzim@gmail.com</t>
        </is>
      </c>
      <c r="C1840" s="2" t="inlineStr">
        <is>
          <t>Report</t>
        </is>
      </c>
      <c r="D1840" s="2" t="inlineStr">
        <is>
          <t xml:space="preserve"> Report سلا- : 99896978  </t>
        </is>
      </c>
      <c r="E1840" s="4" t="inlineStr">
        <is>
          <t>99896978</t>
        </is>
      </c>
    </row>
    <row r="1841" ht="18" customHeight="1">
      <c r="A1841" s="5" t="inlineStr">
        <is>
          <t>Mohammed Almkainzi &lt;almkainzim@gmail.com&gt;</t>
        </is>
      </c>
      <c r="B1841" s="6" t="inlineStr">
        <is>
          <t>almkainzim@gmail.com</t>
        </is>
      </c>
      <c r="C1841" s="5" t="inlineStr">
        <is>
          <t>Report</t>
        </is>
      </c>
      <c r="D1841" s="5" t="inlineStr">
        <is>
          <t xml:space="preserve"> Report محمد الكندري- : 99896978  </t>
        </is>
      </c>
      <c r="E1841" s="7" t="inlineStr">
        <is>
          <t>99896978</t>
        </is>
      </c>
    </row>
    <row r="1842" ht="18" customHeight="1">
      <c r="A1842" s="2" t="inlineStr">
        <is>
          <t>Mohammed Almkainzi &lt;almkainzim@gmail.com&gt;</t>
        </is>
      </c>
      <c r="B1842" s="3" t="inlineStr">
        <is>
          <t>almkainzim@gmail.com</t>
        </is>
      </c>
      <c r="C1842" s="2" t="inlineStr">
        <is>
          <t>Report</t>
        </is>
      </c>
      <c r="D1842" s="2" t="inlineStr">
        <is>
          <t xml:space="preserve"> Report محمد // أتصال تعليمي- : 99896978  </t>
        </is>
      </c>
      <c r="E1842" s="4" t="inlineStr">
        <is>
          <t>99896978</t>
        </is>
      </c>
    </row>
    <row r="1843" ht="18" customHeight="1">
      <c r="A1843" s="5" t="inlineStr">
        <is>
          <t>Mohammed Almkainzi &lt;almkainzim@gmail.com&gt;</t>
        </is>
      </c>
      <c r="B1843" s="6" t="inlineStr">
        <is>
          <t>almkainzim@gmail.com</t>
        </is>
      </c>
      <c r="C1843" s="5" t="inlineStr">
        <is>
          <t>Report</t>
        </is>
      </c>
      <c r="D1843" s="5" t="inlineStr">
        <is>
          <t xml:space="preserve"> Report ماجر 103- : 99896978  </t>
        </is>
      </c>
      <c r="E1843" s="7" t="inlineStr">
        <is>
          <t>99896978</t>
        </is>
      </c>
    </row>
    <row r="1844" ht="18" customHeight="1">
      <c r="A1844" s="2" t="inlineStr">
        <is>
          <t>moon heart &lt;heart_moon128@hotmail.com&gt;</t>
        </is>
      </c>
      <c r="B1844" s="3" t="inlineStr">
        <is>
          <t>heart_moon128@hotmail.com</t>
        </is>
      </c>
      <c r="C1844" s="2">
        <f>?utf-8?B?2LfZhNioINit2LDZgSDYsdmC2YU=?=</f>
        <v/>
      </c>
      <c r="D1844" s="2" t="inlineStr">
        <is>
          <t xml:space="preserve">اريد حذف اسم مسجل على رقمي لانه سببلي مشاكل كثيرة !!  في شخص مجهول كان يبحث لي عن شقة للايجار وحفظ رقمي باسم ( تبي شقة ) والموضوع مفهوم بشكل خاطيء تماماً ارجو مسحه !! </t>
        </is>
      </c>
      <c r="E1844" s="4" t="inlineStr"/>
    </row>
    <row r="1845" ht="18" customHeight="1">
      <c r="A1845" s="5">
        <f>?utf-8?B?2YfYr9mK2YQg2KfZhNi02YXYsdmK?= &lt;hadeel2413@gmail.com&gt;</f>
        <v/>
      </c>
      <c r="B1845" s="6" t="inlineStr">
        <is>
          <t>hadeel2413@gmail.com</t>
        </is>
      </c>
      <c r="C1845" s="5" t="inlineStr"/>
      <c r="D1845" s="5" t="inlineStr">
        <is>
          <t>Hello! How can we help you?  Report الاندلس ق10ش9م190 : 55856366   Sent from my iPhone</t>
        </is>
      </c>
      <c r="E1845" s="7" t="inlineStr">
        <is>
          <t>55856366</t>
        </is>
      </c>
    </row>
    <row r="1846" ht="18" customHeight="1">
      <c r="A1846" s="2" t="inlineStr">
        <is>
          <t>Hammoud Azzam &lt;hammoudSaif@hotmail.com&gt;</t>
        </is>
      </c>
      <c r="B1846" s="3" t="inlineStr">
        <is>
          <t>hammoudSaif@hotmail.com</t>
        </is>
      </c>
      <c r="C1846" s="2">
        <f>?utf-8?B?2KfYs9mFINmF2LPZitihINin2KjZhNi62Kog2LnZhtmHINmI2YTZhSDYqtit?=  =?utf-8?B?2LDZgdmI2YchIQ==?=</f>
        <v/>
      </c>
      <c r="D1846" s="2" t="inlineStr">
        <is>
          <t xml:space="preserve"> السلام عليكم يعطيكم العافية الاسم هذا بلغت عليه اكثر من 4 مرات وكل مرة تقولون لي حذفناه وارجع القاه بالبرنامج الرجاء ان تاخذون الموضوع بجدية وتحذفونه!!   Kindly note that I have sent many emails about this name that is offensive and was put by someone who I thought was a friend as a joke and YET it has not been deleted. Kindly take this seriously and delete these offensive names!!  Report غي3 : 97412756  </t>
        </is>
      </c>
      <c r="E1846" s="4" t="inlineStr">
        <is>
          <t>97412756</t>
        </is>
      </c>
    </row>
    <row r="1847" ht="18" customHeight="1">
      <c r="A1847" s="5" t="inlineStr">
        <is>
          <t>moon heart &lt;heart_moon128@hotmail.com&gt;</t>
        </is>
      </c>
      <c r="B1847" s="6" t="inlineStr">
        <is>
          <t>heart_moon128@hotmail.com</t>
        </is>
      </c>
      <c r="C1847" s="5">
        <f>?utf-8?B?2KfYsdis2Ygg2YXYs9itINin2YTYp9iz2YUgKNi62YrYsSDZhNin2KbZgik=?=</f>
        <v/>
      </c>
      <c r="D1847" s="5" t="inlineStr">
        <is>
          <t xml:space="preserve">Hello! How can we help you?  Report ام بدرتبي شقه- : 99299766   تم حفظ هذا الاسم على رقمي من احدهم بسبب بحثي عن شقة للإيجار لكنه غير لائق اطلاقاً ويُفهم بطريقة سيئة جداً ارجو مسحه!! </t>
        </is>
      </c>
      <c r="E1847" s="7" t="inlineStr">
        <is>
          <t>99299766</t>
        </is>
      </c>
    </row>
    <row r="1848" ht="18" customHeight="1">
      <c r="A1848" s="2">
        <f>?utf-8?B?2YXYrdmF2K8g2KfZhNmF2KfYttmK?= &lt;madibls@hotmail.com&gt;</f>
        <v/>
      </c>
      <c r="B1848" s="3" t="inlineStr">
        <is>
          <t>madibls@hotmail.com</t>
        </is>
      </c>
      <c r="C1848" s="2">
        <f>?utf-8?B?2LPZhNin2YU=?=</f>
        <v/>
      </c>
      <c r="D1848" s="2" t="inlineStr">
        <is>
          <t xml:space="preserve">الرقم لشركة سناب العقارية    Hello! How can we help you?  Report اسامه رياض 2 : 50022424  Mohammad  khaleel +96599717400 </t>
        </is>
      </c>
      <c r="E1848" s="4" t="inlineStr">
        <is>
          <t>50022424, 99717400</t>
        </is>
      </c>
    </row>
    <row r="1849" ht="18" customHeight="1">
      <c r="A1849" s="5" t="inlineStr">
        <is>
          <t>Farah Alenezi &lt;farah13alenezi@icloud.com&gt;</t>
        </is>
      </c>
      <c r="B1849" s="6" t="inlineStr">
        <is>
          <t>farah13alenezi@icloud.com</t>
        </is>
      </c>
      <c r="C1849" s="5" t="inlineStr"/>
      <c r="D1849" s="5" t="inlineStr">
        <is>
          <t>Hello! How can we help you?  Report فرح الغثيثه- : 94438977    Sent from my iPhone</t>
        </is>
      </c>
      <c r="E1849" s="7" t="inlineStr">
        <is>
          <t>94438977</t>
        </is>
      </c>
    </row>
    <row r="1850" ht="18" customHeight="1">
      <c r="A1850" s="2" t="inlineStr">
        <is>
          <t>zone tech &lt;taifa2x@icloud.com&gt;</t>
        </is>
      </c>
      <c r="B1850" s="3" t="inlineStr">
        <is>
          <t>taifa2x@icloud.com</t>
        </is>
      </c>
      <c r="C1850" s="2" t="inlineStr"/>
      <c r="D1850" s="2" t="inlineStr">
        <is>
          <t>Hello! How can we help you?  Report بنت ام راجح : 69910094   ‫أُرسلت من الـ iPhone‬</t>
        </is>
      </c>
      <c r="E1850" s="4" t="inlineStr">
        <is>
          <t>69910094</t>
        </is>
      </c>
    </row>
    <row r="1851" ht="18" customHeight="1">
      <c r="A1851" s="5" t="inlineStr">
        <is>
          <t>Lion Cute &lt;abc123.aa99@gmail.com&gt;</t>
        </is>
      </c>
      <c r="B1851" s="6" t="inlineStr">
        <is>
          <t>abc123.aa99@gmail.com</t>
        </is>
      </c>
      <c r="C1851" s="5" t="inlineStr"/>
      <c r="D1851" s="5" t="inlineStr">
        <is>
          <t>Hello! How can we help you?  Report Pizza- : 66546399   Sent from my iPhone</t>
        </is>
      </c>
      <c r="E1851" s="7" t="inlineStr">
        <is>
          <t>66546399</t>
        </is>
      </c>
    </row>
    <row r="1852" ht="18" customHeight="1">
      <c r="A1852" s="2" t="inlineStr">
        <is>
          <t>C LEO &lt;abc123.aa99@icloud.com&gt;</t>
        </is>
      </c>
      <c r="B1852" s="3" t="inlineStr">
        <is>
          <t>abc123.aa99@icloud.com</t>
        </is>
      </c>
      <c r="C1852" s="2" t="inlineStr"/>
      <c r="D1852" s="2" t="inlineStr">
        <is>
          <t>Hello! How can we help you?  Report Pizza- : 66546399   Sent from my iPhone</t>
        </is>
      </c>
      <c r="E1852" s="4" t="inlineStr">
        <is>
          <t>66546399</t>
        </is>
      </c>
    </row>
    <row r="1853" ht="18" customHeight="1">
      <c r="A1853" s="5" t="inlineStr">
        <is>
          <t>G S &lt;12aa12gs@gmail.com&gt;</t>
        </is>
      </c>
      <c r="B1853" s="6" t="inlineStr">
        <is>
          <t>12aa12gs@gmail.com</t>
        </is>
      </c>
      <c r="C1853" s="5" t="inlineStr"/>
      <c r="D1853" s="5" t="inlineStr">
        <is>
          <t>Hello! How can we help you?  Report Pizza- : 66546399   Sent from my iPhone</t>
        </is>
      </c>
      <c r="E1853" s="7" t="inlineStr">
        <is>
          <t>66546399</t>
        </is>
      </c>
    </row>
    <row r="1854" ht="18" customHeight="1">
      <c r="A1854" s="2" t="inlineStr">
        <is>
          <t>Lion Cute &lt;abc123.aa99@gmail.com&gt;</t>
        </is>
      </c>
      <c r="B1854" s="3" t="inlineStr">
        <is>
          <t>abc123.aa99@gmail.com</t>
        </is>
      </c>
      <c r="C1854" s="2" t="inlineStr"/>
      <c r="D1854" s="2" t="inlineStr">
        <is>
          <t>Hello! How can we help you?  Report Pizza- : 66546399   Sent from my iPhone</t>
        </is>
      </c>
      <c r="E1854" s="4" t="inlineStr">
        <is>
          <t>66546399</t>
        </is>
      </c>
    </row>
    <row r="1855" ht="18" customHeight="1">
      <c r="A1855" s="5" t="inlineStr">
        <is>
          <t>Lion Cute &lt;abc123.aa99@gmail.com&gt;</t>
        </is>
      </c>
      <c r="B1855" s="6" t="inlineStr">
        <is>
          <t>abc123.aa99@gmail.com</t>
        </is>
      </c>
      <c r="C1855" s="5" t="inlineStr"/>
      <c r="D1855" s="5" t="inlineStr">
        <is>
          <t>Hello! How can we help you?  Report اخذت ع شقه صباحيه 4غ : 66546399   Sent from my iPhone</t>
        </is>
      </c>
      <c r="E1855" s="7" t="inlineStr">
        <is>
          <t>66546399</t>
        </is>
      </c>
    </row>
    <row r="1856" ht="18" customHeight="1">
      <c r="A1856" s="2" t="inlineStr">
        <is>
          <t>Lion Cute &lt;abc123.aa99@gmail.com&gt;</t>
        </is>
      </c>
      <c r="B1856" s="3" t="inlineStr">
        <is>
          <t>abc123.aa99@gmail.com</t>
        </is>
      </c>
      <c r="C1856" s="2" t="inlineStr"/>
      <c r="D1856" s="2" t="inlineStr">
        <is>
          <t>Hello! How can we help you?  Report اخذت ع شقه صباحيه 4غ : 66546399   Sent from my iPhone</t>
        </is>
      </c>
      <c r="E1856" s="4" t="inlineStr">
        <is>
          <t>66546399</t>
        </is>
      </c>
    </row>
    <row r="1857" ht="18" customHeight="1">
      <c r="A1857" s="5" t="inlineStr">
        <is>
          <t>C LEO &lt;abc123.aa99@icloud.com&gt;</t>
        </is>
      </c>
      <c r="B1857" s="6" t="inlineStr">
        <is>
          <t>abc123.aa99@icloud.com</t>
        </is>
      </c>
      <c r="C1857" s="5" t="inlineStr"/>
      <c r="D1857" s="5" t="inlineStr">
        <is>
          <t>Hello! How can we help you?  Report اخذت ع شقه صباحيه 4غ : 66546399   Sent from my iPhone</t>
        </is>
      </c>
      <c r="E1857" s="7" t="inlineStr">
        <is>
          <t>66546399</t>
        </is>
      </c>
    </row>
    <row r="1858" ht="18" customHeight="1">
      <c r="A1858" s="2" t="inlineStr">
        <is>
          <t>Lion Cute &lt;abc123.aa99@gmail.com&gt;</t>
        </is>
      </c>
      <c r="B1858" s="3" t="inlineStr">
        <is>
          <t>abc123.aa99@gmail.com</t>
        </is>
      </c>
      <c r="C1858" s="2" t="inlineStr"/>
      <c r="D1858" s="2" t="inlineStr">
        <is>
          <t>Hello! How can we help you?  Report اخذت ع شقه : 66546399   Sent from my iPhone</t>
        </is>
      </c>
      <c r="E1858" s="4" t="inlineStr">
        <is>
          <t>66546399</t>
        </is>
      </c>
    </row>
    <row r="1859" ht="18" customHeight="1">
      <c r="A1859" s="5" t="inlineStr">
        <is>
          <t>Lion Cute &lt;abc123.aa99@gmail.com&gt;</t>
        </is>
      </c>
      <c r="B1859" s="6" t="inlineStr">
        <is>
          <t>abc123.aa99@gmail.com</t>
        </is>
      </c>
      <c r="C1859" s="5" t="inlineStr"/>
      <c r="D1859" s="5" t="inlineStr">
        <is>
          <t>Hello! How can we help you?  Report اخذت ع شقه : 66546399   Sent from my iPhone</t>
        </is>
      </c>
      <c r="E1859" s="7" t="inlineStr">
        <is>
          <t>66546399</t>
        </is>
      </c>
    </row>
    <row r="1860" ht="18" customHeight="1">
      <c r="A1860" s="2" t="inlineStr">
        <is>
          <t>C LEO &lt;abc123.aa99@icloud.com&gt;</t>
        </is>
      </c>
      <c r="B1860" s="3" t="inlineStr">
        <is>
          <t>abc123.aa99@icloud.com</t>
        </is>
      </c>
      <c r="C1860" s="2" t="inlineStr"/>
      <c r="D1860" s="2" t="inlineStr">
        <is>
          <t>Hello! How can we help you?  Report اخذت ع شقه : 66546399   Sent from my iPhone</t>
        </is>
      </c>
      <c r="E1860" s="4" t="inlineStr">
        <is>
          <t>66546399</t>
        </is>
      </c>
    </row>
    <row r="1861" ht="18" customHeight="1">
      <c r="A1861" s="5" t="inlineStr">
        <is>
          <t>G S &lt;12aa12gs@gmail.com&gt;</t>
        </is>
      </c>
      <c r="B1861" s="6" t="inlineStr">
        <is>
          <t>12aa12gs@gmail.com</t>
        </is>
      </c>
      <c r="C1861" s="5" t="inlineStr"/>
      <c r="D1861" s="5" t="inlineStr">
        <is>
          <t>Hello! How can we help you?  Report اخذت ع شقه : 66546399   Sent from my iPhone</t>
        </is>
      </c>
      <c r="E1861" s="7" t="inlineStr">
        <is>
          <t>66546399</t>
        </is>
      </c>
    </row>
    <row r="1862" ht="18" customHeight="1">
      <c r="A1862" s="2" t="inlineStr">
        <is>
          <t>G S &lt;12aa12gs@gmail.com&gt;</t>
        </is>
      </c>
      <c r="B1862" s="3" t="inlineStr">
        <is>
          <t>12aa12gs@gmail.com</t>
        </is>
      </c>
      <c r="C1862" s="2" t="inlineStr"/>
      <c r="D1862" s="2" t="inlineStr">
        <is>
          <t>Hello! How can we help you?  Report اخذت ع شقه صباحيه 4غ : 66546399   Sent from my iPhone</t>
        </is>
      </c>
      <c r="E1862" s="4" t="inlineStr">
        <is>
          <t>66546399</t>
        </is>
      </c>
    </row>
    <row r="1863" ht="18" customHeight="1">
      <c r="A1863" s="5" t="inlineStr">
        <is>
          <t>Lion Cute &lt;abc123.aa99@gmail.com&gt;</t>
        </is>
      </c>
      <c r="B1863" s="6" t="inlineStr">
        <is>
          <t>abc123.aa99@gmail.com</t>
        </is>
      </c>
      <c r="C1863" s="5" t="inlineStr"/>
      <c r="D1863" s="5" t="inlineStr">
        <is>
          <t>Hello! How can we help you?  Report ملقوف : 66546399   Sent from my iPhone</t>
        </is>
      </c>
      <c r="E1863" s="7" t="inlineStr">
        <is>
          <t>66546399</t>
        </is>
      </c>
    </row>
    <row r="1864" ht="18" customHeight="1">
      <c r="A1864" s="2" t="inlineStr">
        <is>
          <t>Lion Cute &lt;abc123.aa99@gmail.com&gt;</t>
        </is>
      </c>
      <c r="B1864" s="3" t="inlineStr">
        <is>
          <t>abc123.aa99@gmail.com</t>
        </is>
      </c>
      <c r="C1864" s="2" t="inlineStr"/>
      <c r="D1864" s="2" t="inlineStr">
        <is>
          <t>Hello! How can we help you?  Report ملقوف : 66546399   Sent from my iPhone</t>
        </is>
      </c>
      <c r="E1864" s="4" t="inlineStr">
        <is>
          <t>66546399</t>
        </is>
      </c>
    </row>
    <row r="1865" ht="18" customHeight="1">
      <c r="A1865" s="5" t="inlineStr">
        <is>
          <t>C LEO &lt;abc123.aa99@icloud.com&gt;</t>
        </is>
      </c>
      <c r="B1865" s="6" t="inlineStr">
        <is>
          <t>abc123.aa99@icloud.com</t>
        </is>
      </c>
      <c r="C1865" s="5" t="inlineStr"/>
      <c r="D1865" s="5" t="inlineStr">
        <is>
          <t>Hello! How can we help you?  Report ملقوف : 66546399   Sent from my iPhone</t>
        </is>
      </c>
      <c r="E1865" s="7" t="inlineStr">
        <is>
          <t>66546399</t>
        </is>
      </c>
    </row>
    <row r="1866" ht="18" customHeight="1">
      <c r="A1866" s="2" t="inlineStr">
        <is>
          <t>G S &lt;12aa12gs@gmail.com&gt;</t>
        </is>
      </c>
      <c r="B1866" s="3" t="inlineStr">
        <is>
          <t>12aa12gs@gmail.com</t>
        </is>
      </c>
      <c r="C1866" s="2" t="inlineStr"/>
      <c r="D1866" s="2" t="inlineStr">
        <is>
          <t>Hello! How can we help you?  Report ملقوف : 66546399   Sent from my iPhone</t>
        </is>
      </c>
      <c r="E1866" s="4" t="inlineStr">
        <is>
          <t>66546399</t>
        </is>
      </c>
    </row>
    <row r="1867" ht="18" customHeight="1">
      <c r="A1867" s="5" t="inlineStr">
        <is>
          <t>Lion Cute &lt;abc123.aa99@gmail.com&gt;</t>
        </is>
      </c>
      <c r="B1867" s="6" t="inlineStr">
        <is>
          <t>abc123.aa99@gmail.com</t>
        </is>
      </c>
      <c r="C1867" s="5" t="inlineStr"/>
      <c r="D1867" s="5" t="inlineStr">
        <is>
          <t>Hello! How can we help you?  Report Bla-Lqafa : 66546399   Sent from my iPhone</t>
        </is>
      </c>
      <c r="E1867" s="7" t="inlineStr">
        <is>
          <t>66546399</t>
        </is>
      </c>
    </row>
    <row r="1868" ht="18" customHeight="1">
      <c r="A1868" s="2" t="inlineStr">
        <is>
          <t>C LEO &lt;abc123.aa99@icloud.com&gt;</t>
        </is>
      </c>
      <c r="B1868" s="3" t="inlineStr">
        <is>
          <t>abc123.aa99@icloud.com</t>
        </is>
      </c>
      <c r="C1868" s="2" t="inlineStr"/>
      <c r="D1868" s="2" t="inlineStr">
        <is>
          <t>Hello! How can we help you?  Report Bla-Lqafa : 66546399   Sent from my iPhone</t>
        </is>
      </c>
      <c r="E1868" s="4" t="inlineStr">
        <is>
          <t>66546399</t>
        </is>
      </c>
    </row>
    <row r="1869" ht="18" customHeight="1">
      <c r="A1869" s="5" t="inlineStr">
        <is>
          <t>G S &lt;12aa12gs@gmail.com&gt;</t>
        </is>
      </c>
      <c r="B1869" s="6" t="inlineStr">
        <is>
          <t>12aa12gs@gmail.com</t>
        </is>
      </c>
      <c r="C1869" s="5" t="inlineStr"/>
      <c r="D1869" s="5" t="inlineStr">
        <is>
          <t>Hello! How can we help you?  Report Bla-Lqafa : 66546399   Sent from my iPhone</t>
        </is>
      </c>
      <c r="E1869" s="7" t="inlineStr">
        <is>
          <t>66546399</t>
        </is>
      </c>
    </row>
    <row r="1870" ht="18" customHeight="1">
      <c r="A1870" s="2" t="inlineStr">
        <is>
          <t>Lion Cute &lt;abc123.aa99@gmail.com&gt;</t>
        </is>
      </c>
      <c r="B1870" s="3" t="inlineStr">
        <is>
          <t>abc123.aa99@gmail.com</t>
        </is>
      </c>
      <c r="C1870" s="2" t="inlineStr"/>
      <c r="D1870" s="2" t="inlineStr">
        <is>
          <t>Hello! How can we help you?  Report Bla-Lqafa : 66546399   Sent from my iPhone</t>
        </is>
      </c>
      <c r="E1870" s="4" t="inlineStr">
        <is>
          <t>66546399</t>
        </is>
      </c>
    </row>
    <row r="1871" ht="18" customHeight="1">
      <c r="A1871" s="5" t="inlineStr">
        <is>
          <t>Am Alajmi &lt;amalllla1986@gmail.com&gt;</t>
        </is>
      </c>
      <c r="B1871" s="6" t="inlineStr">
        <is>
          <t>amalllla1986@gmail.com</t>
        </is>
      </c>
      <c r="C1871" s="5" t="inlineStr"/>
      <c r="D1871" s="5" t="inlineStr">
        <is>
          <t>Hello! How can we help you?  Report ام عبدالله جابر العلي بنت الوسخة الزانية : 99997457   ‫أُرسلت من الـ iPhone‬</t>
        </is>
      </c>
      <c r="E1871" s="7" t="inlineStr">
        <is>
          <t>99997457</t>
        </is>
      </c>
    </row>
    <row r="1872" ht="18" customHeight="1">
      <c r="A1872" s="2" t="inlineStr">
        <is>
          <t>Fahad Alrajhi &lt;k800if@icloud.com&gt;</t>
        </is>
      </c>
      <c r="B1872" s="3" t="inlineStr">
        <is>
          <t>k800if@icloud.com</t>
        </is>
      </c>
      <c r="C1872" s="2" t="inlineStr">
        <is>
          <t>H</t>
        </is>
      </c>
      <c r="D1872" s="2" t="inlineStr">
        <is>
          <t>Hello! How can we help you?  Report فهد شور : 51511171  This name is an respected  Sent from my iPhone</t>
        </is>
      </c>
      <c r="E1872" s="4" t="inlineStr">
        <is>
          <t>51511171</t>
        </is>
      </c>
    </row>
    <row r="1873" ht="18" customHeight="1">
      <c r="A1873" s="5" t="inlineStr">
        <is>
          <t>maha alm &lt;m6xa00q@gmail.com&gt;</t>
        </is>
      </c>
      <c r="B1873" s="6" t="inlineStr">
        <is>
          <t>m6xa00q@gmail.com</t>
        </is>
      </c>
      <c r="C1873" s="5">
        <f>?utf-8?B?2LTZitmEINin2YTYp9mG2K/ZhNiz?=</f>
        <v/>
      </c>
      <c r="D1873" s="5" t="inlineStr">
        <is>
          <t>Hello! How can we help you?  Report امازون الاندلس قطعه 4 شارع 20 منزل : 69044402   ‫أُرسلت من الـ iPhone‬</t>
        </is>
      </c>
      <c r="E1873" s="7" t="inlineStr">
        <is>
          <t>69044402</t>
        </is>
      </c>
    </row>
    <row r="1874" ht="18" customHeight="1">
      <c r="A1874" s="2" t="inlineStr">
        <is>
          <t>Mubarak Alajmi &lt;nassay88@gmail.com&gt;</t>
        </is>
      </c>
      <c r="B1874" s="3" t="inlineStr">
        <is>
          <t>nassay88@gmail.com</t>
        </is>
      </c>
      <c r="C1874" s="2">
        <f>?UTF-8?B?2YjYp9it2K8g2YXYs9is2YQg2LHZgtmF2Yog2KjZitin2Lkg?=</f>
        <v/>
      </c>
      <c r="D1874" s="2" t="inlineStr">
        <is>
          <t>&lt;meta http-equiv="Content-Type" content="text/html; charset=utf-8"&gt;&lt;div dir="auto"&gt;&lt;br&gt;&lt;br&gt;&lt;br&gt;&lt;br&gt;وانا انسان معلم وجدت محترم اتمنى اتخاذ اللازم حجب&lt;br&gt;&lt;div style="direction:rtl;unicode-bidi:embed"&gt;&lt;div&gt;&amp;nbsp;هذا الاسم وشكرا مُرسلة من هاتفي&lt;/div&gt;&lt;/div&gt;&lt;/div&gt;</t>
        </is>
      </c>
      <c r="E1874" s="4" t="inlineStr"/>
    </row>
    <row r="1875" ht="18" customHeight="1">
      <c r="A1875" s="5" t="inlineStr">
        <is>
          <t>Allh 7sebik &lt;allh_7sebik@icloud.com&gt;</t>
        </is>
      </c>
      <c r="B1875" s="6" t="inlineStr">
        <is>
          <t>allh_7sebik@icloud.com</t>
        </is>
      </c>
      <c r="C1875" s="5" t="inlineStr"/>
      <c r="D1875" s="5" t="inlineStr">
        <is>
          <t>Hello! How can we help you?  Report حسن شبراوي موارنوووووووو : 50278240   Sent from my iPhone</t>
        </is>
      </c>
      <c r="E1875" s="7" t="inlineStr">
        <is>
          <t>50278240</t>
        </is>
      </c>
    </row>
    <row r="1876" ht="18" customHeight="1">
      <c r="A1876" s="2">
        <f>?utf-8?B?2YXYsdmK2YUg2KfZhNi52YjYttmK?= &lt;maryomaalawadhi@icloud.com&gt;</f>
        <v/>
      </c>
      <c r="B1876" s="3" t="inlineStr">
        <is>
          <t>maryomaalawadhi@icloud.com</t>
        </is>
      </c>
      <c r="C1876" s="2" t="inlineStr">
        <is>
          <t xml:space="preserve">Personal information </t>
        </is>
      </c>
      <c r="D1876" s="2" t="inlineStr">
        <is>
          <t>Hello! How can we help you?THA APPLICATION SHOWS MY FULL NAME FULL ADRESS AND MY CIVIL ID NUMBER  Sent from my iPhone</t>
        </is>
      </c>
      <c r="E1876" s="4" t="inlineStr"/>
    </row>
    <row r="1877" ht="18" customHeight="1">
      <c r="A1877" s="5" t="inlineStr">
        <is>
          <t>Bashar Abuqurs &lt;bashar.abuqurs@kfh.com&gt;</t>
        </is>
      </c>
      <c r="B1877" s="6" t="inlineStr">
        <is>
          <t>bashar.abuqurs@kfh.com</t>
        </is>
      </c>
      <c r="C1877" s="5" t="inlineStr">
        <is>
          <t>97278175</t>
        </is>
      </c>
      <c r="D1877" s="5" t="inlineStr">
        <is>
          <t>Hello! How can we help you?  Report انتبهوا منه هذا واحد وغشاش يشهد الله : 97278175  الرجاء حذف هاد الاسم بالسرعه القصوى Regards, Bashar Abu Qurs Bashar Abuqurs Senior Data Warehouse Specialist Data Warehouse Management Group Transformation, Technology and Operations Ph. +965-24966291 Email: Bashar.Abuqurs@kfh.com&lt;mailto:Bashar.Abuqurs@kfh.com&gt; [KFH Logo] www.kfh.com&lt;http://www.kfh.com&gt; Snapchat&lt;https://www.snapchat.com/add/kfhgroup&gt; | Instagram&lt;https://www.instagram.com/kfhgroup/&gt; | YouTube&lt;https://www.youtube.com/KFHGroup&gt; | @KFHGroup&lt;https://twitter.com/kfhgroup&gt;  IMPORTANT: Please consider the environment. Only print if absolutely necessary. This email message and its attachments are for ...</t>
        </is>
      </c>
      <c r="E1877" s="7" t="inlineStr">
        <is>
          <t>97278175, 24966291</t>
        </is>
      </c>
    </row>
    <row r="1878" ht="18" customHeight="1">
      <c r="A1878" s="2" t="inlineStr">
        <is>
          <t>Moad Aldhafeeri &lt;moadaaldhafeeri@icloud.com&gt;</t>
        </is>
      </c>
      <c r="B1878" s="3" t="inlineStr">
        <is>
          <t>moadaaldhafeeri@icloud.com</t>
        </is>
      </c>
      <c r="C1878" s="2" t="inlineStr">
        <is>
          <t xml:space="preserve">Please check this out </t>
        </is>
      </c>
      <c r="D1878" s="2" t="inlineStr">
        <is>
          <t xml:space="preserve">Hello! How can we help you?  Report جورج سوري مززز مساج- : 66217444   Sent from my iPhone  الرجاء حذف هذا الاسم " جورج عامل مساج مزز " من هذا الرقم 66217444 أنا اسمي ليس جورج ولست عامل مساج الرجاء حذف هذا الاسم مخل نوعاً ما بخصوص حساسيه مكان شغلي  </t>
        </is>
      </c>
      <c r="E1878" s="4" t="inlineStr">
        <is>
          <t>66217444</t>
        </is>
      </c>
    </row>
    <row r="1879" ht="18" customHeight="1">
      <c r="A1879" s="5" t="inlineStr">
        <is>
          <t>abdullah mostafa &lt;aboodmostafa28@icloud.com&gt;</t>
        </is>
      </c>
      <c r="B1879" s="6" t="inlineStr">
        <is>
          <t>aboodmostafa28@icloud.com</t>
        </is>
      </c>
      <c r="C1879" s="5" t="inlineStr"/>
      <c r="D1879" s="5" t="inlineStr">
        <is>
          <t>Hello! How can we help you?  Report مغربي شريطي تلفونات اشبيلية : 50960666   Sent from my iPhone</t>
        </is>
      </c>
      <c r="E1879" s="7" t="inlineStr">
        <is>
          <t>50960666</t>
        </is>
      </c>
    </row>
    <row r="1880" ht="18" customHeight="1">
      <c r="A1880" s="2" t="inlineStr">
        <is>
          <t>omar ahmed &lt;omar1ooo@yahoo.com&gt;</t>
        </is>
      </c>
      <c r="B1880" s="3" t="inlineStr">
        <is>
          <t>omar1ooo@yahoo.com</t>
        </is>
      </c>
      <c r="C1880" s="2">
        <f>?utf-8?B?2KfYqNmE2KfYuiDZh9iw2Kcg2KfZhNmF2LPYrNmEINi52YTZitmH?=  =?utf-8?B?INi52YbZiNin2YYg2LPZg9mGINiu2KfYtSDYp9ix2KzZiCDYrdiw?=  =?utf-8?B?2YHYqSDZhNin2YbZhyDYp9mG2KrZh9in2YMg2YTZhNiu2LXZiNi1?=  =?utf-8?B?2YrZhw==?=</f>
        <v/>
      </c>
      <c r="D1880" s="2" t="inlineStr">
        <is>
          <t>Hello! How can we help you?  Report ابواحمد ص بيت القرين ق4 ش23م71 تاريخ 5/6- : 51223051   ‫أُرسلت من الـ iPhone‬</t>
        </is>
      </c>
      <c r="E1880" s="4" t="inlineStr">
        <is>
          <t>51223051</t>
        </is>
      </c>
    </row>
    <row r="1881" ht="18" customHeight="1">
      <c r="A1881" s="5" t="inlineStr">
        <is>
          <t>omar ahmed &lt;omar1ooo@yahoo.com&gt;</t>
        </is>
      </c>
      <c r="B1881" s="6" t="inlineStr">
        <is>
          <t>omar1ooo@yahoo.com</t>
        </is>
      </c>
      <c r="C1881" s="5">
        <f>?utf-8?B?2KfYqNmE2KfYuiDZh9mG2KfZgyDYudmG2YjYp9mGINiu2KfYtSA=?=  =?utf-8?B?2YHZiiDYp9mE2LHZgtmFINmI2KfZhtiq2YfYp9mDINmE2YTYrti1?=  =?utf-8?B?2YjYtdmK2Kk=?=</f>
        <v/>
      </c>
      <c r="D1881" s="5" t="inlineStr">
        <is>
          <t>Hello! How can we help you?  Report ابواحمد ص بيت القرين ق4 ش23م71 تاريخ 5/6 : 51223051   ‫أُرسلت من الـ iPhone‬</t>
        </is>
      </c>
      <c r="E1881" s="7" t="inlineStr">
        <is>
          <t>51223051</t>
        </is>
      </c>
    </row>
    <row r="1882" ht="18" customHeight="1">
      <c r="A1882" s="2" t="inlineStr">
        <is>
          <t>omar ahmed &lt;omar1ooo@yahoo.com&gt;</t>
        </is>
      </c>
      <c r="B1882" s="3" t="inlineStr">
        <is>
          <t>omar1ooo@yahoo.com</t>
        </is>
      </c>
      <c r="C1882" s="2">
        <f>?utf-8?B?2LfZhNioINit2LDZgSDYsdmC2YU=?=</f>
        <v/>
      </c>
      <c r="D1882" s="2" t="inlineStr">
        <is>
          <t>هناك عنوان المنزل الخاص في احد الارقام المسجله ‫أُرسلت من الـ iPhone‬</t>
        </is>
      </c>
      <c r="E1882" s="4" t="inlineStr"/>
    </row>
    <row r="1883" ht="18" customHeight="1">
      <c r="A1883" s="5" t="inlineStr">
        <is>
          <t>"Mr. Hassan" &lt;has0n.180@gmail.com&gt;</t>
        </is>
      </c>
      <c r="B1883" s="6" t="inlineStr">
        <is>
          <t>has0n.180@gmail.com</t>
        </is>
      </c>
      <c r="C1883" s="5" t="inlineStr">
        <is>
          <t>Private info delete asap</t>
        </is>
      </c>
      <c r="D1883" s="5" t="inlineStr">
        <is>
          <t>Hello! How can we help you?  Report حسن الحداد الدسمه 3 / الرشيد / 51 ع العقيله 8 مرجع : 65000671   Sent from my iPhone</t>
        </is>
      </c>
      <c r="E1883" s="7" t="inlineStr">
        <is>
          <t>65000671</t>
        </is>
      </c>
    </row>
    <row r="1884" ht="18" customHeight="1">
      <c r="A1884" s="2" t="inlineStr">
        <is>
          <t>Hamed Almatery &lt;hamed2793@icloud.com&gt;</t>
        </is>
      </c>
      <c r="B1884" s="3" t="inlineStr">
        <is>
          <t>hamed2793@icloud.com</t>
        </is>
      </c>
      <c r="C1884" s="2">
        <f>?utf-8?B?2KfZhNiz2YTYp9mFINi52YTZitmD2YUg2KfZhtinINix2KzZhCA=?=  =?utf-8?B?2YjZhNmK2LMg2KfZhdix2KPZhyDYp9ix2KzZiCDYrdiw2YEg2Yc=?=  =?utf-8?B?2LDYpyDYp9mE2KfYs9mFINmI2KzYr9in2YYg2KfZhNmF2LfZitix?=  =?utf-8?B?2Yog2YTYp9mG2Ycg2LPYqNioINmE2Yog2YXYtNin2YPZhCDYp9ix?=  =?utf-8?B?2K3ZiCDYp9mE2K3YsNmBINio2KPYs9ix2Lkg2YjZgtiq?=</f>
        <v/>
      </c>
      <c r="D1884" s="2" t="inlineStr">
        <is>
          <t>Hello! How can we help you?  Report وجدان المطيري : 65060566   ‫أُرسلت من الـ iPhone‬</t>
        </is>
      </c>
      <c r="E1884" s="4" t="inlineStr">
        <is>
          <t>65060566</t>
        </is>
      </c>
    </row>
    <row r="1885" ht="18" customHeight="1">
      <c r="A1885" s="5" t="inlineStr">
        <is>
          <t>Hamed Almatery &lt;hamed2793@icloud.com&gt;</t>
        </is>
      </c>
      <c r="B1885" s="6" t="inlineStr">
        <is>
          <t>hamed2793@icloud.com</t>
        </is>
      </c>
      <c r="C1885" s="5">
        <f>?utf-8?B?2KfZhNiz2YTYp9mFINi52YTZitmD2YUg2KfZhtinINix2KzZhCA=?=  =?utf-8?B?2YjZhNmK2LMg2KfZhdix2KPZhyDZiNin2LHYrNmIINit2LDZgSA=?=  =?utf-8?B?2YfYsNinINin2YTYp9iz2YUg2YjYrNiv2KfZhiDYp9mE2YXYt9mK?=  =?utf-8?B?2LHZiiDZhNin2YbZhyDYs9io2Kgg2YTZiiDZhdi02KfZg9mEINmI?=  =?utf-8?B?2KfYsdis2Ygg2KfZhNit2LDZgSDYqNij2LPYsdi5INmI2YLYqiA=?=</f>
        <v/>
      </c>
      <c r="D1885" s="5" t="inlineStr">
        <is>
          <t>Hello! How can we help you?  Report وجدان المطيري : 65060566   ‫أُرسلت من الـ iPhone‬</t>
        </is>
      </c>
      <c r="E1885" s="7" t="inlineStr">
        <is>
          <t>65060566</t>
        </is>
      </c>
    </row>
    <row r="1886" ht="18" customHeight="1">
      <c r="A1886" s="2">
        <f>?utf-8?B?2KjZiCDYrdmF2K8=?= &lt;bo1hamd56@gmail.com&gt;</f>
        <v/>
      </c>
      <c r="B1886" s="3" t="inlineStr">
        <is>
          <t>bo1hamd56@gmail.com</t>
        </is>
      </c>
      <c r="C1886" s="2" t="inlineStr">
        <is>
          <t>Add My Company</t>
        </is>
      </c>
      <c r="D1886" s="2" t="inlineStr">
        <is>
          <t>CBCSofra .  Website. Phone. Business sector. Optional Fields: Location. Email. Notes.  Notes:  We will review the data provided including the mandatory fields. If all went alright! We will call you to authenticate you and your relation to the mentioned business. This may take up to a week.   ‫أُرسلت من الـ iPhone‬</t>
        </is>
      </c>
      <c r="E1886" s="4" t="inlineStr"/>
    </row>
    <row r="1887" ht="18" customHeight="1">
      <c r="A1887" s="5" t="inlineStr">
        <is>
          <t>Lolwa Alothaina &lt;lolwaalothaina@icloud.com&gt;</t>
        </is>
      </c>
      <c r="B1887" s="6" t="inlineStr">
        <is>
          <t>lolwaalothaina@icloud.com</t>
        </is>
      </c>
      <c r="C1887" s="5" t="inlineStr"/>
      <c r="D1887" s="5" t="inlineStr">
        <is>
          <t>Hello! How can we help you?  Report حزام : 99911242   Sent from my iPhone</t>
        </is>
      </c>
      <c r="E1887" s="7" t="inlineStr">
        <is>
          <t>99911242</t>
        </is>
      </c>
    </row>
    <row r="1888" ht="18" customHeight="1">
      <c r="A1888" s="2" t="inlineStr">
        <is>
          <t>SAUD ALMABKHOUT &lt;alajmi.q8@yahoo.com&gt;</t>
        </is>
      </c>
      <c r="B1888" s="3" t="inlineStr">
        <is>
          <t>alajmi.q8@yahoo.com</t>
        </is>
      </c>
      <c r="C1888" s="2" t="inlineStr"/>
      <c r="D1888" s="2" t="inlineStr">
        <is>
          <t>Hello! How can we help you?  I want it to be deleted   Report حامل ، قطوه حامل ، المحزم الفسوان : 51573666   Sent from my iPhone</t>
        </is>
      </c>
      <c r="E1888" s="4" t="inlineStr">
        <is>
          <t>51573666</t>
        </is>
      </c>
    </row>
    <row r="1889" ht="18" customHeight="1">
      <c r="A1889" s="5" t="inlineStr">
        <is>
          <t>JusLess &lt;mkm24593@gmail.com&gt;</t>
        </is>
      </c>
      <c r="B1889" s="6" t="inlineStr">
        <is>
          <t>mkm24593@gmail.com</t>
        </is>
      </c>
      <c r="C1889" s="5" t="inlineStr"/>
      <c r="D1889" s="5" t="inlineStr">
        <is>
          <t>Hello! How can we help you?  Report Ali Gay : 97707547   Sent from my iPhone</t>
        </is>
      </c>
      <c r="E1889" s="7" t="inlineStr">
        <is>
          <t>97707547</t>
        </is>
      </c>
    </row>
    <row r="1890" ht="18" customHeight="1">
      <c r="A1890" s="2" t="inlineStr">
        <is>
          <t>new kw &lt;newkw213@yahoo.com&gt;</t>
        </is>
      </c>
      <c r="B1890" s="3" t="inlineStr">
        <is>
          <t>newkw213@yahoo.com</t>
        </is>
      </c>
      <c r="C1890" s="2" t="inlineStr"/>
      <c r="D1890" s="2" t="inlineStr">
        <is>
          <t>Hello! How can we help you?  Report يبي يتوظف 2 : 55477183   ‫أُرسلت من الـ iPhone‬</t>
        </is>
      </c>
      <c r="E1890" s="4" t="inlineStr">
        <is>
          <t>55477183</t>
        </is>
      </c>
    </row>
    <row r="1891" ht="18" customHeight="1">
      <c r="A1891" s="5" t="inlineStr">
        <is>
          <t>Bander Aldfyary &lt;bander84@icloud.com&gt;</t>
        </is>
      </c>
      <c r="B1891" s="6" t="inlineStr">
        <is>
          <t>bander84@icloud.com</t>
        </is>
      </c>
      <c r="C1891" s="5">
        <f>?utf-8?B?2KfZhNin2LPZhSDYp9mE2Yog2YXYrtiy2YYg2YHZitmHINin2LM=?=  =?utf-8?B?2YXZiiDZhdiz2Yog2YTZig==?=</f>
        <v/>
      </c>
      <c r="D1891" s="5" t="inlineStr">
        <is>
          <t>Hello! How can we help you?  Report متطفلين حسب بلاغات من بلدك KW :   ‫أُرسلت من الـ iPhone‬ الاسم المخزن يسبب لي مشاكل واحراج يرجى التكرم مسح الرقم من البرنامج 97555628</t>
        </is>
      </c>
      <c r="E1891" s="7" t="inlineStr">
        <is>
          <t>97555628</t>
        </is>
      </c>
    </row>
    <row r="1892" ht="18" customHeight="1">
      <c r="A1892" s="2" t="inlineStr">
        <is>
          <t>Bander Aldfyary &lt;bander84@icloud.com&gt;</t>
        </is>
      </c>
      <c r="B1892" s="3" t="inlineStr">
        <is>
          <t>bander84@icloud.com</t>
        </is>
      </c>
      <c r="C1892" s="2">
        <f>?utf-8?Q?Re:_=D9=85=D8=B3=D8=AD_=D8=A7=D8=B3=D9=85_=D9=85=D8=B3?=  =?utf-8?Q?=D9=8A_=D9=84=D9=8A_?=</f>
        <v/>
      </c>
      <c r="D1892" s="2" t="inlineStr">
        <is>
          <t xml:space="preserve"> ‫أُرسلت من الـ iPhone‬  &gt; ‫في 30‏/09‏/2025 الساعة 12:30 م، كتب/كتبت ‏Bander Aldfyary ‏&lt;bander84@icloud.com&gt;:‬ &gt;  &gt; ﻿ &gt; Hello! How can we help you? &gt;  &gt; Report متطفلين حسب بلاغات من بلدك KW : &gt;  &gt;  &gt; ‫أُرسلت من الـ iPhone‬ &gt; في اسم لي مخزن مسيل لي 97555628 اورال 23  &gt; أرجو التكرم مسح الاسم وشكراً  </t>
        </is>
      </c>
      <c r="E1892" s="4" t="inlineStr">
        <is>
          <t>97555628</t>
        </is>
      </c>
    </row>
    <row r="1893" ht="18" customHeight="1">
      <c r="A1893" s="5" t="inlineStr">
        <is>
          <t>Msa3d Almutairi &lt;msa3dzaid@icloud.com&gt;</t>
        </is>
      </c>
      <c r="B1893" s="6" t="inlineStr">
        <is>
          <t>msa3dzaid@icloud.com</t>
        </is>
      </c>
      <c r="C1893" s="5">
        <f>?utf-8?Q?Urgent_=F0=9F=94=B4=F0=9F=94=B4=F0=9F=94=B4?=</f>
        <v/>
      </c>
      <c r="D1893" s="5"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3" s="7" t="inlineStr">
        <is>
          <t>99952095</t>
        </is>
      </c>
    </row>
    <row r="1894" ht="18" customHeight="1">
      <c r="A1894" s="2" t="inlineStr">
        <is>
          <t>Msa3d Almutairi &lt;msa3dzaid@icloud.com&gt;</t>
        </is>
      </c>
      <c r="B1894" s="3" t="inlineStr">
        <is>
          <t>msa3dzaid@icloud.com</t>
        </is>
      </c>
      <c r="C1894" s="2">
        <f>?utf-8?Q?Urgent_=F0=9F=94=B4=F0=9F=94=B4=F0=9F=94=B4?=</f>
        <v/>
      </c>
      <c r="D1894" s="2"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4" s="4" t="inlineStr">
        <is>
          <t>99952095</t>
        </is>
      </c>
    </row>
    <row r="1895" ht="18" customHeight="1">
      <c r="A1895" s="5" t="inlineStr">
        <is>
          <t>Msa3d Almutairi &lt;msa3dzaid@icloud.com&gt;</t>
        </is>
      </c>
      <c r="B1895" s="6" t="inlineStr">
        <is>
          <t>msa3dzaid@icloud.com</t>
        </is>
      </c>
      <c r="C1895" s="5">
        <f>?utf-8?Q?Urgent_=F0=9F=94=B4=F0=9F=94=B4=F0=9F=94=B4?=</f>
        <v/>
      </c>
      <c r="D1895" s="5"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5" s="7" t="inlineStr">
        <is>
          <t>99952095</t>
        </is>
      </c>
    </row>
    <row r="1896" ht="18" customHeight="1">
      <c r="A1896" s="2" t="inlineStr">
        <is>
          <t>Msa3d Almutairi &lt;msa3dzaid@icloud.com&gt;</t>
        </is>
      </c>
      <c r="B1896" s="3" t="inlineStr">
        <is>
          <t>msa3dzaid@icloud.com</t>
        </is>
      </c>
      <c r="C1896" s="2">
        <f>?utf-8?Q?Urgent_=F0=9F=94=B4=F0=9F=94=B4=F0=9F=94=B4?=</f>
        <v/>
      </c>
      <c r="D1896" s="2"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6" s="4" t="inlineStr">
        <is>
          <t>99952095</t>
        </is>
      </c>
    </row>
    <row r="1897" ht="18" customHeight="1">
      <c r="A1897" s="5" t="inlineStr">
        <is>
          <t>Msa3d Almutairi &lt;msa3dzaid@icloud.com&gt;</t>
        </is>
      </c>
      <c r="B1897" s="6" t="inlineStr">
        <is>
          <t>msa3dzaid@icloud.com</t>
        </is>
      </c>
      <c r="C1897" s="5">
        <f>?utf-8?Q?Urgent_=F0=9F=94=B4=F0=9F=94=B4=F0=9F=94=B4?=</f>
        <v/>
      </c>
      <c r="D1897" s="5" t="inlineStr">
        <is>
          <t xml:space="preserve">﻿ ﻿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897" s="7" t="inlineStr">
        <is>
          <t>99952095</t>
        </is>
      </c>
    </row>
    <row r="1898" ht="18" customHeight="1">
      <c r="A1898" s="2" t="inlineStr">
        <is>
          <t>Moad Aldhafeeri &lt;moadaaldhafeeri@icloud.com&gt;</t>
        </is>
      </c>
      <c r="B1898" s="3" t="inlineStr">
        <is>
          <t>moadaaldhafeeri@icloud.com</t>
        </is>
      </c>
      <c r="C1898" s="2">
        <f>?utf-8?B?2KfYs9mFINmF2K7ZhCDYqNin2YTYp9iv2KfYqCA=?=</f>
        <v/>
      </c>
      <c r="D1898" s="2" t="inlineStr">
        <is>
          <t>Hello! How can we help you?  Report جورج سوري مززز مساج- : 66217444  اسم مخل للاداب أرجو الحذف في اقرب وقت Sent from my iPhone</t>
        </is>
      </c>
      <c r="E1898" s="4" t="inlineStr">
        <is>
          <t>66217444</t>
        </is>
      </c>
    </row>
    <row r="1899" ht="18" customHeight="1">
      <c r="A1899" s="5" t="inlineStr">
        <is>
          <t>Jenan Al Awadhi &lt;js_alawadhi@hotmail.com&gt;</t>
        </is>
      </c>
      <c r="B1899" s="6" t="inlineStr">
        <is>
          <t>js_alawadhi@hotmail.com</t>
        </is>
      </c>
      <c r="C1899" s="5" t="inlineStr">
        <is>
          <t xml:space="preserve">Hide name </t>
        </is>
      </c>
      <c r="D1899" s="5" t="inlineStr">
        <is>
          <t xml:space="preserve">Hello! How can we help you?  This name isn’t me  Report كليه ال نوره : 97733203  Sent from my iPhone </t>
        </is>
      </c>
      <c r="E1899" s="7" t="inlineStr">
        <is>
          <t>97733203</t>
        </is>
      </c>
    </row>
    <row r="1900" ht="18" customHeight="1">
      <c r="A1900" s="2" t="inlineStr">
        <is>
          <t>Jenan Al Awadhi &lt;js_alawadhi@hotmail.com&gt;</t>
        </is>
      </c>
      <c r="B1900" s="3" t="inlineStr">
        <is>
          <t>js_alawadhi@hotmail.com</t>
        </is>
      </c>
      <c r="C1900" s="2" t="inlineStr">
        <is>
          <t>Hide name</t>
        </is>
      </c>
      <c r="D1900" s="2" t="inlineStr">
        <is>
          <t xml:space="preserve">Hello! How can we help you?  This name isn’t me  Report منورر العوضي : 97733203  Sent from my iPhone </t>
        </is>
      </c>
      <c r="E1900" s="4" t="inlineStr">
        <is>
          <t>97733203</t>
        </is>
      </c>
    </row>
    <row r="1901" ht="18" customHeight="1">
      <c r="A1901" s="5" t="inlineStr">
        <is>
          <t>Maryam AlAwadhi &lt;maryom.al3wadhi@gmail.com&gt;</t>
        </is>
      </c>
      <c r="B1901" s="6" t="inlineStr">
        <is>
          <t>maryom.al3wadhi@gmail.com</t>
        </is>
      </c>
      <c r="C1901" s="5">
        <f>?UTF-8?B?2YXYrtin2YTZgdipINiu2LXZiNi12YrZhw==?=</f>
        <v/>
      </c>
      <c r="D1901" s="5" t="inlineStr">
        <is>
          <t xml:space="preserve">عفوا البرنامج موضح اسمي الكامل مع عنوان البيت والرقم المدني هذي خصوصيه شلون تنعرض </t>
        </is>
      </c>
      <c r="E1901" s="7" t="inlineStr"/>
    </row>
    <row r="1902" ht="18" customHeight="1">
      <c r="A1902" s="2" t="inlineStr">
        <is>
          <t>Wadha Almutairi &lt;wkalmutairi@gmail.com&gt;</t>
        </is>
      </c>
      <c r="B1902" s="3" t="inlineStr">
        <is>
          <t>wkalmutairi@gmail.com</t>
        </is>
      </c>
      <c r="C1902" s="2">
        <f>?utf-8?B?2YXYsdiq2YrZhiDYr9in2YHYudmHIA==?=</f>
        <v/>
      </c>
      <c r="D1902" s="2" t="inlineStr">
        <is>
          <t xml:space="preserve">السلام عليكم  شهر 3 مجدده ودزيتوا اليوم اشتراكك انتهى شلون؟       </t>
        </is>
      </c>
      <c r="E1902" s="4" t="inlineStr"/>
    </row>
    <row r="1903" ht="18" customHeight="1">
      <c r="A1903" s="5">
        <f>?utf-8?B?2LnYqNiv2KfZhNix2K3ZhdmGINin2YTYudiz2YrZhNin2YY=?= &lt;asalkhaldi.89@gmail.com&gt;</f>
        <v/>
      </c>
      <c r="B1903" s="6" t="inlineStr">
        <is>
          <t>asalkhaldi.89@gmail.com</t>
        </is>
      </c>
      <c r="C1903" s="5" t="inlineStr"/>
      <c r="D1903" s="5" t="inlineStr">
        <is>
          <t xml:space="preserve">Hello! How can we help you?  Report حصان 450- : 55371777   ‏Abdulrahman Alkhaldi </t>
        </is>
      </c>
      <c r="E1903" s="7" t="inlineStr">
        <is>
          <t>55371777</t>
        </is>
      </c>
    </row>
    <row r="1904" ht="18" customHeight="1">
      <c r="A1904" s="2" t="inlineStr">
        <is>
          <t>ABDULLAH K &lt;ffoxyy@icloud.com&gt;</t>
        </is>
      </c>
      <c r="B1904" s="3" t="inlineStr">
        <is>
          <t>ffoxyy@icloud.com</t>
        </is>
      </c>
      <c r="C1904" s="2">
        <f>?utf-8?B?2YfYp9mD2LHYsg==?=</f>
        <v/>
      </c>
      <c r="D1904" s="2" t="inlineStr">
        <is>
          <t>Hello! How can we help you?  Report متطفلين حسب بلاغات من بلدك KW :   ‫أُرسلت من الـ iPhone‬</t>
        </is>
      </c>
      <c r="E1904" s="4" t="inlineStr"/>
    </row>
    <row r="1905" ht="18" customHeight="1">
      <c r="A1905" s="5" t="inlineStr">
        <is>
          <t>ABDULLAH K &lt;ffoxyy@icloud.com&gt;</t>
        </is>
      </c>
      <c r="B1905" s="6" t="inlineStr">
        <is>
          <t>ffoxyy@icloud.com</t>
        </is>
      </c>
      <c r="C1905" s="5" t="inlineStr"/>
      <c r="D1905" s="5" t="inlineStr">
        <is>
          <t>Hello! How can we help you?  Report هاكرز حسب بلاغات من بلدك KW :   ‫أُرسلت من الـ iPhone‬</t>
        </is>
      </c>
      <c r="E1905" s="7" t="inlineStr"/>
    </row>
    <row r="1906" ht="18" customHeight="1">
      <c r="A1906" s="2" t="inlineStr">
        <is>
          <t>Anwar Amotiri &lt;aamotiri@gmail.com&gt;</t>
        </is>
      </c>
      <c r="B1906" s="3" t="inlineStr">
        <is>
          <t>aamotiri@gmail.com</t>
        </is>
      </c>
      <c r="C1906" s="2">
        <f>?utf-8?B?2LrZitixINmE2KfYptmC?=</f>
        <v/>
      </c>
      <c r="D1906" s="2" t="inlineStr">
        <is>
          <t>Hello! How can we help you?  Report ام نوره ابو سلمان : 55598869   ‫أُرسلت من الـ iPhone‬</t>
        </is>
      </c>
      <c r="E1906" s="4" t="inlineStr">
        <is>
          <t>55598869</t>
        </is>
      </c>
    </row>
    <row r="1907" ht="18" customHeight="1">
      <c r="A1907" s="5" t="inlineStr">
        <is>
          <t>Anwar Amotiri &lt;aamotiri@gmail.com&gt;</t>
        </is>
      </c>
      <c r="B1907" s="6" t="inlineStr">
        <is>
          <t>aamotiri@gmail.com</t>
        </is>
      </c>
      <c r="C1907" s="5">
        <f>?utf-8?B?2LrZitixINmE2KfYptmC?=</f>
        <v/>
      </c>
      <c r="D1907" s="5" t="inlineStr">
        <is>
          <t>Hello! How can we help you?  Report صباح الناصر كاش : 55598869   ‫أُرسلت من الـ iPhone‬</t>
        </is>
      </c>
      <c r="E1907" s="7" t="inlineStr">
        <is>
          <t>55598869</t>
        </is>
      </c>
    </row>
    <row r="1908" ht="18" customHeight="1">
      <c r="A1908" s="2" t="inlineStr">
        <is>
          <t>Anwar Amotiri &lt;aamotiri@gmail.com&gt;</t>
        </is>
      </c>
      <c r="B1908" s="3" t="inlineStr">
        <is>
          <t>aamotiri@gmail.com</t>
        </is>
      </c>
      <c r="C1908" s="2">
        <f>?utf-8?B?2LrZitixINmE2KfYptmC?=</f>
        <v/>
      </c>
      <c r="D1908" s="2" t="inlineStr">
        <is>
          <t>Hello! How can we help you?  Report ام نوره عند خالد جديد 1500 : 55598869   ‫أُرسلت من الـ iPhone‬</t>
        </is>
      </c>
      <c r="E1908" s="4" t="inlineStr">
        <is>
          <t>55598869</t>
        </is>
      </c>
    </row>
    <row r="1909" ht="18" customHeight="1">
      <c r="A1909" s="5" t="inlineStr">
        <is>
          <t>Msa3d Almutairi &lt;msa3dzaid@icloud.com&gt;</t>
        </is>
      </c>
      <c r="B1909" s="6" t="inlineStr">
        <is>
          <t>msa3dzaid@icloud.com</t>
        </is>
      </c>
      <c r="C1909" s="5">
        <f>?utf-8?Q?Urgent_=F0=9F=94=B4=F0=9F=94=B4=F0=9F=94=B4?=</f>
        <v/>
      </c>
      <c r="D1909"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09" s="7" t="inlineStr">
        <is>
          <t>99952095</t>
        </is>
      </c>
    </row>
    <row r="1910" ht="18" customHeight="1">
      <c r="A1910" s="2" t="inlineStr">
        <is>
          <t>Msa3d Almutairi &lt;msa3dzaid@icloud.com&gt;</t>
        </is>
      </c>
      <c r="B1910" s="3" t="inlineStr">
        <is>
          <t>msa3dzaid@icloud.com</t>
        </is>
      </c>
      <c r="C1910" s="2">
        <f>?utf-8?Q?Urgent_=F0=9F=94=B4=F0=9F=94=B4=F0=9F=94=B4?=</f>
        <v/>
      </c>
      <c r="D1910"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0" s="4" t="inlineStr">
        <is>
          <t>99952095</t>
        </is>
      </c>
    </row>
    <row r="1911" ht="18" customHeight="1">
      <c r="A1911" s="5" t="inlineStr">
        <is>
          <t>Msa3d Almutairi &lt;msa3dzaid@icloud.com&gt;</t>
        </is>
      </c>
      <c r="B1911" s="6" t="inlineStr">
        <is>
          <t>msa3dzaid@icloud.com</t>
        </is>
      </c>
      <c r="C1911" s="5">
        <f>?utf-8?Q?Urgent_=F0=9F=94=B4=F0=9F=94=B4=F0=9F=94=B4?=</f>
        <v/>
      </c>
      <c r="D1911"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1" s="7" t="inlineStr">
        <is>
          <t>99952095</t>
        </is>
      </c>
    </row>
    <row r="1912" ht="18" customHeight="1">
      <c r="A1912" s="2" t="inlineStr">
        <is>
          <t>Msa3d Almutairi &lt;msa3dzaid@icloud.com&gt;</t>
        </is>
      </c>
      <c r="B1912" s="3" t="inlineStr">
        <is>
          <t>msa3dzaid@icloud.com</t>
        </is>
      </c>
      <c r="C1912" s="2">
        <f>?utf-8?Q?Urgent_=F0=9F=94=B4=F0=9F=94=B4=F0=9F=94=B4?=</f>
        <v/>
      </c>
      <c r="D1912"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2" s="4" t="inlineStr">
        <is>
          <t>99952095</t>
        </is>
      </c>
    </row>
    <row r="1913" ht="18" customHeight="1">
      <c r="A1913" s="5" t="inlineStr">
        <is>
          <t>Msa3d Almutairi &lt;msa3dzaid@icloud.com&gt;</t>
        </is>
      </c>
      <c r="B1913" s="6" t="inlineStr">
        <is>
          <t>msa3dzaid@icloud.com</t>
        </is>
      </c>
      <c r="C1913" s="5">
        <f>?utf-8?Q?Urgent_=F0=9F=94=B4=F0=9F=94=B4=F0=9F=94=B4?=</f>
        <v/>
      </c>
      <c r="D1913"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13" s="7" t="inlineStr">
        <is>
          <t>99952095</t>
        </is>
      </c>
    </row>
    <row r="1914" ht="18" customHeight="1">
      <c r="A1914" s="2" t="inlineStr">
        <is>
          <t>Bader Alfadly &lt;baderalfadly33@gmail.com&gt;</t>
        </is>
      </c>
      <c r="B1914" s="3" t="inlineStr">
        <is>
          <t>baderalfadly33@gmail.com</t>
        </is>
      </c>
      <c r="C1914" s="2">
        <f>?utf-8?B?2KjZitin2YbYp9iq2Yog2YHZiiAoINmF2YbZiCDYr9in2YIgKSA=?=</f>
        <v/>
      </c>
      <c r="D1914" s="2" t="inlineStr">
        <is>
          <t xml:space="preserve">اخي السلام عليكم، لقد قمتم في السابق بحذف جميع بياناتي في برنامجكم ( منو داق ) لوجود اسماء لاتليق بي ، ولاحظت بأن تم ارجاع البيانات السابقه اللتي تم حذفها من قبل سيادتكم  ،  هل تريدون المزيد من الاموال ؟ او هل تقومون بالنصب على زبائنكم ؟   يرجى حذف جميع بياناتي نهائيا ، وليس سنه ومن ثم تطلبون الاموال ، وشكرا… 99960989 </t>
        </is>
      </c>
      <c r="E1914" s="4" t="inlineStr">
        <is>
          <t>99960989</t>
        </is>
      </c>
    </row>
    <row r="1915" ht="18" customHeight="1">
      <c r="A1915" s="5" t="inlineStr">
        <is>
          <t>Soso Arti &lt;S_arti@hotmail.com&gt;</t>
        </is>
      </c>
      <c r="B1915" s="6" t="inlineStr">
        <is>
          <t>S_arti@hotmail.com</t>
        </is>
      </c>
      <c r="C1915" s="5" t="inlineStr"/>
      <c r="D1915" s="5" t="inlineStr">
        <is>
          <t xml:space="preserve">Hello! How can we help you?  Report 329578 : 66444974   هذي ارقام سريه ارجوا المسح Sent from my iPhone </t>
        </is>
      </c>
      <c r="E1915" s="7" t="inlineStr">
        <is>
          <t>66444974</t>
        </is>
      </c>
    </row>
    <row r="1916" ht="18" customHeight="1">
      <c r="A1916" s="2" t="inlineStr">
        <is>
          <t>Soso Arti &lt;S_arti@hotmail.com&gt;</t>
        </is>
      </c>
      <c r="B1916" s="3" t="inlineStr">
        <is>
          <t>S_arti@hotmail.com</t>
        </is>
      </c>
      <c r="C1916" s="2" t="inlineStr"/>
      <c r="D1916" s="2" t="inlineStr">
        <is>
          <t xml:space="preserve">Hello! How can we help you?  Report سكينه صديقه زهراء : 66444974   لا اسمح بإظهار هذي المعلومات ارجوا المسح Sent from my iPhone </t>
        </is>
      </c>
      <c r="E1916" s="4" t="inlineStr">
        <is>
          <t>66444974</t>
        </is>
      </c>
    </row>
    <row r="1917" ht="18" customHeight="1">
      <c r="A1917" s="5" t="inlineStr">
        <is>
          <t>Soso Arti &lt;S_arti@hotmail.com&gt;</t>
        </is>
      </c>
      <c r="B1917" s="6" t="inlineStr">
        <is>
          <t>S_arti@hotmail.com</t>
        </is>
      </c>
      <c r="C1917" s="5" t="inlineStr"/>
      <c r="D1917" s="5" t="inlineStr">
        <is>
          <t xml:space="preserve">Hello! How can we help you?  Report زايرة 5 اشخاص : 66444974  غير صحيح ارجوا المسح Sent from my iPhone </t>
        </is>
      </c>
      <c r="E1917" s="7" t="inlineStr">
        <is>
          <t>66444974</t>
        </is>
      </c>
    </row>
    <row r="1918" ht="18" customHeight="1">
      <c r="A1918" s="2" t="inlineStr">
        <is>
          <t>Soso Arti &lt;S_arti@hotmail.com&gt;</t>
        </is>
      </c>
      <c r="B1918" s="3" t="inlineStr">
        <is>
          <t>S_arti@hotmail.com</t>
        </is>
      </c>
      <c r="C1918" s="2" t="inlineStr"/>
      <c r="D1918" s="2" t="inlineStr">
        <is>
          <t xml:space="preserve">Hello! How can we help you?  Report ام محمد آرتي سلوي ق4 ش3 م114 : 66444974  Sent from my iPhone   ارجوا مسح المعلومات مايصير عنواني في برنامج </t>
        </is>
      </c>
      <c r="E1918" s="4" t="inlineStr">
        <is>
          <t>66444974</t>
        </is>
      </c>
    </row>
    <row r="1919" ht="18" customHeight="1">
      <c r="A1919" s="5" t="inlineStr">
        <is>
          <t>Hussein Aljuburi &lt;husseinq8800@gmail.com&gt;</t>
        </is>
      </c>
      <c r="B1919" s="6" t="inlineStr">
        <is>
          <t>husseinq8800@gmail.com</t>
        </is>
      </c>
      <c r="C1919" s="5">
        <f>?utf-8?B?2KfYs9mFINi62YrYsSDZhNin2KbZgg==?=</f>
        <v/>
      </c>
      <c r="D1919" s="5" t="inlineStr">
        <is>
          <t>Hello! How can we help you?  Report تويتي : 99558331    Sent from my iPhone</t>
        </is>
      </c>
      <c r="E1919" s="7" t="inlineStr">
        <is>
          <t>99558331</t>
        </is>
      </c>
    </row>
    <row r="1920" ht="18" customHeight="1">
      <c r="A1920" s="2" t="inlineStr">
        <is>
          <t>Hussein Aljuburi &lt;husseinq8800@gmail.com&gt;</t>
        </is>
      </c>
      <c r="B1920" s="3" t="inlineStr">
        <is>
          <t>husseinq8800@gmail.com</t>
        </is>
      </c>
      <c r="C1920" s="2">
        <f>?utf-8?B?2KfYs9mFINi62YrYsSDZhNin2KbZgg==?=</f>
        <v/>
      </c>
      <c r="D1920" s="2" t="inlineStr">
        <is>
          <t>Hello! How can we help you?  Report تويتي : 99558331    Sent from my iPhone</t>
        </is>
      </c>
      <c r="E1920" s="4" t="inlineStr">
        <is>
          <t>99558331</t>
        </is>
      </c>
    </row>
    <row r="1921" ht="18" customHeight="1">
      <c r="A1921" s="5" t="inlineStr">
        <is>
          <t>Hussein Aljuburi &lt;husseinq8800@gmail.com&gt;</t>
        </is>
      </c>
      <c r="B1921" s="6" t="inlineStr">
        <is>
          <t>husseinq8800@gmail.com</t>
        </is>
      </c>
      <c r="C1921" s="5">
        <f>?utf-8?B?2LfZhNioINit2LDZgSDYsdmC2YU=?=</f>
        <v/>
      </c>
      <c r="D1921" s="5" t="inlineStr">
        <is>
          <t xml:space="preserve">99558331  Sent from my iPhone </t>
        </is>
      </c>
      <c r="E1921" s="7" t="inlineStr">
        <is>
          <t>99558331</t>
        </is>
      </c>
    </row>
    <row r="1922" ht="18" customHeight="1">
      <c r="A1922" s="2" t="inlineStr">
        <is>
          <t>Hussein Aljuburi &lt;husseinq8800@gmail.com&gt;</t>
        </is>
      </c>
      <c r="B1922" s="3" t="inlineStr">
        <is>
          <t>husseinq8800@gmail.com</t>
        </is>
      </c>
      <c r="C1922" s="2" t="inlineStr"/>
      <c r="D1922" s="2" t="inlineStr">
        <is>
          <t>Hello! How can we help you?  Report جبورية7 حسين ع لعالي كاظم : 99558331    Sent from my iPhone</t>
        </is>
      </c>
      <c r="E1922" s="4" t="inlineStr">
        <is>
          <t>99558331</t>
        </is>
      </c>
    </row>
    <row r="1923" ht="18" customHeight="1">
      <c r="A1923" s="5" t="inlineStr">
        <is>
          <t>Hussein Aljuburi &lt;husseinq8800@gmail.com&gt;</t>
        </is>
      </c>
      <c r="B1923" s="6" t="inlineStr">
        <is>
          <t>husseinq8800@gmail.com</t>
        </is>
      </c>
      <c r="C1923" s="5" t="inlineStr"/>
      <c r="D1923" s="5" t="inlineStr">
        <is>
          <t>Hello! How can we help you?  Report تويتي : 99558331    Sent from my iPhone</t>
        </is>
      </c>
      <c r="E1923" s="7" t="inlineStr">
        <is>
          <t>99558331</t>
        </is>
      </c>
    </row>
    <row r="1924" ht="18" customHeight="1">
      <c r="A1924" s="2" t="inlineStr">
        <is>
          <t>kkyy6658@icloud.com</t>
        </is>
      </c>
      <c r="B1924" s="3" t="inlineStr">
        <is>
          <t>kkyy6658@icloud.com</t>
        </is>
      </c>
      <c r="C1924" s="2" t="inlineStr"/>
      <c r="D1924" s="2" t="inlineStr">
        <is>
          <t>Hello! How can we help you?  Report وفاء البراك Vip : 96066619   ‫أُرسلت من الـ iPhone‬</t>
        </is>
      </c>
      <c r="E1924" s="4" t="inlineStr">
        <is>
          <t>96066619</t>
        </is>
      </c>
    </row>
    <row r="1925" ht="18" customHeight="1">
      <c r="A1925" s="5" t="inlineStr">
        <is>
          <t>Nawaf Gmail &lt;nar1975@gmail.com&gt;</t>
        </is>
      </c>
      <c r="B1925" s="6" t="inlineStr">
        <is>
          <t>nar1975@gmail.com</t>
        </is>
      </c>
      <c r="C1925" s="5" t="inlineStr"/>
      <c r="D1925" s="5" t="inlineStr">
        <is>
          <t xml:space="preserve">Hello! How can we help you?  Why nobody answer my emails ?? I paid for block my number but still no deleted !! 65555556   Regards,  nawaf Alrefae   </t>
        </is>
      </c>
      <c r="E1925" s="7" t="inlineStr">
        <is>
          <t>65555556</t>
        </is>
      </c>
    </row>
    <row r="1926" ht="18" customHeight="1">
      <c r="A1926" s="2">
        <f>?utf-8?B?2YfYr9mK2YQg2KfZhNi02YXYsdmK?= &lt;hadeel2413@gmail.com&gt;</f>
        <v/>
      </c>
      <c r="B1926" s="3" t="inlineStr">
        <is>
          <t>hadeel2413@gmail.com</t>
        </is>
      </c>
      <c r="C1926" s="2" t="inlineStr"/>
      <c r="D1926" s="2" t="inlineStr">
        <is>
          <t>Hello! How can we help you?  Report نووور عيوووني 2- : 55856366   Sent from my iPhone</t>
        </is>
      </c>
      <c r="E1926" s="4" t="inlineStr">
        <is>
          <t>55856366</t>
        </is>
      </c>
    </row>
    <row r="1927" ht="18" customHeight="1">
      <c r="A1927" s="5">
        <f>?utf-8?B?2YfYr9mK2YQg2KfZhNi02YXYsdmK?= &lt;hadeel2413@gmail.com&gt;</f>
        <v/>
      </c>
      <c r="B1927" s="6" t="inlineStr">
        <is>
          <t>hadeel2413@gmail.com</t>
        </is>
      </c>
      <c r="C1927" s="5" t="inlineStr"/>
      <c r="D1927" s="5" t="inlineStr">
        <is>
          <t>Hello! How can we help you?  Report الاندلس ق10ش9م190 : 55856366   Sent from my iPhone</t>
        </is>
      </c>
      <c r="E1927" s="7" t="inlineStr">
        <is>
          <t>55856366</t>
        </is>
      </c>
    </row>
    <row r="1928" ht="18" customHeight="1">
      <c r="A1928" s="2" t="inlineStr">
        <is>
          <t>Bader &lt;bader.n.alenezi@gmail.com&gt;</t>
        </is>
      </c>
      <c r="B1928" s="3" t="inlineStr">
        <is>
          <t>bader.n.alenezi@gmail.com</t>
        </is>
      </c>
      <c r="C1928" s="2">
        <f>?utf-8?B?2YrYsdis2Ykg2KfZhNit2LDZgQ==?=</f>
        <v/>
      </c>
      <c r="D1928" s="2" t="inlineStr"/>
      <c r="E1928" s="4" t="inlineStr"/>
    </row>
    <row r="1929" ht="18" customHeight="1">
      <c r="A1929" s="5">
        <f>?utf-8?B?2YfYr9mK2YQg2KfZhNi02YXYsdmK?= &lt;hadeel2413@gmail.com&gt;</f>
        <v/>
      </c>
      <c r="B1929" s="6" t="inlineStr">
        <is>
          <t>hadeel2413@gmail.com</t>
        </is>
      </c>
      <c r="C1929" s="5" t="inlineStr"/>
      <c r="D1929" s="5" t="inlineStr">
        <is>
          <t>Hello! How can we help you?  Report الاندلس ق10ش9م190 : 55856366   Sent from my iPhone</t>
        </is>
      </c>
      <c r="E1929" s="7" t="inlineStr">
        <is>
          <t>55856366</t>
        </is>
      </c>
    </row>
    <row r="1930" ht="18" customHeight="1">
      <c r="A1930" s="2" t="inlineStr">
        <is>
          <t>Fatema Arrfaj &lt;f6oum37@gmail.com&gt;</t>
        </is>
      </c>
      <c r="B1930" s="3" t="inlineStr">
        <is>
          <t>f6oum37@gmail.com</t>
        </is>
      </c>
      <c r="C1930" s="2" t="inlineStr"/>
      <c r="D1930" s="2" t="inlineStr">
        <is>
          <t>Hello! How can we help you?  لو سمحتو مسحوه يسوي مشاكل عائليه !!!!!   Report سنيورين لبعض : 99957988   Sent from my iPhone</t>
        </is>
      </c>
      <c r="E1930" s="4" t="inlineStr">
        <is>
          <t>99957988</t>
        </is>
      </c>
    </row>
    <row r="1931" ht="18" customHeight="1">
      <c r="A1931" s="5" t="inlineStr">
        <is>
          <t>FaHaD AL-FaHaD &lt;fahadalfahad999@gmail.com&gt;</t>
        </is>
      </c>
      <c r="B1931" s="6" t="inlineStr">
        <is>
          <t>fahadalfahad999@gmail.com</t>
        </is>
      </c>
      <c r="C1931" s="5" t="inlineStr"/>
      <c r="D1931" s="5" t="inlineStr">
        <is>
          <t>Hello! How can we help you?  Report Beby 3 : 99912321  It is un ethical can you remove it thank you Sent from my iPhone</t>
        </is>
      </c>
      <c r="E1931" s="7" t="inlineStr">
        <is>
          <t>99912321</t>
        </is>
      </c>
    </row>
    <row r="1932" ht="18" customHeight="1">
      <c r="A1932" s="2">
        <f>?utf-8?B?2YfYr9mK2YQg2KfZhNi02YXYsdmK?= &lt;hadeel2413@gmail.com&gt;</f>
        <v/>
      </c>
      <c r="B1932" s="3" t="inlineStr">
        <is>
          <t>hadeel2413@gmail.com</t>
        </is>
      </c>
      <c r="C1932" s="2" t="inlineStr"/>
      <c r="D1932" s="2" t="inlineStr">
        <is>
          <t>Hello! How can we help you?  Report هديل زين : 55856366   Sent from my iPhone</t>
        </is>
      </c>
      <c r="E1932" s="4" t="inlineStr">
        <is>
          <t>55856366</t>
        </is>
      </c>
    </row>
    <row r="1933" ht="18" customHeight="1">
      <c r="A1933" s="5">
        <f>?UTF-8?B?0JDQu9GW0L3QsCDQmtGD0LfRjNC80LXQvdC60L4=?= &lt;kuzmenkoalina774@gmail.com&gt;</f>
        <v/>
      </c>
      <c r="B1933" s="6" t="inlineStr">
        <is>
          <t>kuzmenkoalina774@gmail.com</t>
        </is>
      </c>
      <c r="C1933" s="5" t="inlineStr">
        <is>
          <t>Invitation to partnership on Google Play</t>
        </is>
      </c>
      <c r="D1933" s="5" t="inlineStr">
        <is>
          <t xml:space="preserve">We’re inviting you to partner with us on Google Play. The offer is simple: publish our app and receive $70 every week. All further details will be provided by our manager. Please share your contacts if you’d like to proceed. </t>
        </is>
      </c>
      <c r="E1933" s="7" t="inlineStr"/>
    </row>
    <row r="1934" ht="18" customHeight="1">
      <c r="A1934" s="2" t="inlineStr">
        <is>
          <t>mariam alousi &lt;mariam.alousi6@gmail.com&gt;</t>
        </is>
      </c>
      <c r="B1934" s="3" t="inlineStr">
        <is>
          <t>mariam.alousi6@gmail.com</t>
        </is>
      </c>
      <c r="C1934" s="2" t="inlineStr"/>
      <c r="D1934" s="2" t="inlineStr">
        <is>
          <t>Hello! How can we help you?  Report n3al : 97720275   word is inappropriate  Sent from my iPhone</t>
        </is>
      </c>
      <c r="E1934" s="4" t="inlineStr">
        <is>
          <t>97720275</t>
        </is>
      </c>
    </row>
    <row r="1935" ht="18" customHeight="1">
      <c r="A1935" s="5" t="inlineStr">
        <is>
          <t>"q8mkh92@gmail.com" &lt;q8mkh92@gmail.com&gt;</t>
        </is>
      </c>
      <c r="B1935" s="6" t="inlineStr">
        <is>
          <t>q8mkh92@gmail.com</t>
        </is>
      </c>
      <c r="C1935" s="5">
        <f>?utf-8?B?2KfZhNin2LPZhSDYutmK2LEg2LXYrdmK2K0=?=</f>
        <v/>
      </c>
      <c r="D1935" s="5" t="inlineStr">
        <is>
          <t>Hello! How can we help you?  Report النعيم فارس : 97727225   ‫أُرسلت من الـ iPhone‬</t>
        </is>
      </c>
      <c r="E1935" s="7" t="inlineStr">
        <is>
          <t>97727225</t>
        </is>
      </c>
    </row>
    <row r="1936" ht="18" customHeight="1">
      <c r="A1936" s="2" t="inlineStr">
        <is>
          <t>Salem Alkhaldi &lt;salem.alkhaldi1982@gmail.com&gt;</t>
        </is>
      </c>
      <c r="B1936" s="3" t="inlineStr">
        <is>
          <t>salem.alkhaldi1982@gmail.com</t>
        </is>
      </c>
      <c r="C1936" s="2">
        <f>?utf-8?B?2KfYsdis2Ygg2YXYs9itINin2YTZhdmH2YbZhyDZiNmE2YPZhSA=?=  =?utf-8?B?2KfZhNi02YPYsSA=?=</f>
        <v/>
      </c>
      <c r="D1936" s="2" t="inlineStr">
        <is>
          <t>Hello! How can we help you?  Report سالم الخالدي دعم العماله بوعبدالله- : 99454441   ‫أُرسلت من الـ iPhone‬</t>
        </is>
      </c>
      <c r="E1936" s="4" t="inlineStr">
        <is>
          <t>99454441</t>
        </is>
      </c>
    </row>
    <row r="1937" ht="18" customHeight="1">
      <c r="A1937" s="5" t="inlineStr">
        <is>
          <t>Anwar Rouhaldeen &lt;anaary977@gmail.com&gt;</t>
        </is>
      </c>
      <c r="B1937" s="6" t="inlineStr">
        <is>
          <t>anaary977@gmail.com</t>
        </is>
      </c>
      <c r="C1937" s="5" t="inlineStr"/>
      <c r="D1937" s="5" t="inlineStr">
        <is>
          <t>Hello! How can we help you?  Report لولره- : 55588652  الاسم غلط   Sent from my iPhone</t>
        </is>
      </c>
      <c r="E1937" s="7" t="inlineStr">
        <is>
          <t>55588652</t>
        </is>
      </c>
    </row>
    <row r="1938" ht="18" customHeight="1">
      <c r="A1938" s="2" t="inlineStr">
        <is>
          <t>Mariam Aseri &lt;mariamaseri8@gmail.com&gt;</t>
        </is>
      </c>
      <c r="B1938" s="3" t="inlineStr">
        <is>
          <t>mariamaseri8@gmail.com</t>
        </is>
      </c>
      <c r="C1938" s="2" t="inlineStr"/>
      <c r="D1938" s="2" t="inlineStr">
        <is>
          <t>Hello! How can we help you?  Report Nawal بيان : 60702057   Sent from my iPhone</t>
        </is>
      </c>
      <c r="E1938" s="4" t="inlineStr">
        <is>
          <t>60702057</t>
        </is>
      </c>
    </row>
    <row r="1939" ht="18" customHeight="1">
      <c r="A1939" s="5" t="inlineStr">
        <is>
          <t>FaHaD AL-FaHaD &lt;fahadalfahad999@gmail.com&gt;</t>
        </is>
      </c>
      <c r="B1939" s="6" t="inlineStr">
        <is>
          <t>fahadalfahad999@gmail.com</t>
        </is>
      </c>
      <c r="C1939" s="5" t="inlineStr"/>
      <c r="D1939" s="5" t="inlineStr">
        <is>
          <t>Hello! How can we help you?  Report Fofee : 99912321  It is un ethical can you remove it plz Sent from my iPhone</t>
        </is>
      </c>
      <c r="E1939" s="7" t="inlineStr">
        <is>
          <t>99912321</t>
        </is>
      </c>
    </row>
    <row r="1940" ht="18" customHeight="1">
      <c r="A1940" s="2" t="inlineStr">
        <is>
          <t>Mariam Aseri &lt;mariamaseri8@gmail.com&gt;</t>
        </is>
      </c>
      <c r="B1940" s="3" t="inlineStr">
        <is>
          <t>mariamaseri8@gmail.com</t>
        </is>
      </c>
      <c r="C1940" s="2" t="inlineStr"/>
      <c r="D1940" s="2" t="inlineStr">
        <is>
          <t>Hello! How can we help you?  Report نوال حادي عشر ت بيان) : 60702057   Sent from my iPhone</t>
        </is>
      </c>
      <c r="E1940" s="4" t="inlineStr">
        <is>
          <t>60702057</t>
        </is>
      </c>
    </row>
    <row r="1941" ht="18" customHeight="1">
      <c r="A1941" s="5" t="inlineStr">
        <is>
          <t>"q8mkh92@gmail.com" &lt;q8mkh92@gmail.com&gt;</t>
        </is>
      </c>
      <c r="B1941" s="6" t="inlineStr">
        <is>
          <t>q8mkh92@gmail.com</t>
        </is>
      </c>
      <c r="C1941" s="5">
        <f>?utf-8?B?2KfZhNin2LPZhSDYutmK2LEg2LXYrdmK2K0=?=</f>
        <v/>
      </c>
      <c r="D1941" s="5" t="inlineStr">
        <is>
          <t>Hello! How can we help you?  Report ايجار بالنعيم- : 97727225   ‫أُرسلت من الـ iPhone‬</t>
        </is>
      </c>
      <c r="E1941" s="7" t="inlineStr">
        <is>
          <t>97727225</t>
        </is>
      </c>
    </row>
    <row r="1942" ht="18" customHeight="1">
      <c r="A1942" s="2" t="inlineStr">
        <is>
          <t>Fatma Dashti &lt;fatmadashti33@gmail.com&gt;</t>
        </is>
      </c>
      <c r="B1942" s="3" t="inlineStr">
        <is>
          <t>fatmadashti33@gmail.com</t>
        </is>
      </c>
      <c r="C1942" s="2">
        <f>?utf-8?B?2YXYudmE2YjZhdin2Kog2K7Yp9i12Kk=?=</f>
        <v/>
      </c>
      <c r="D1942" s="2" t="inlineStr">
        <is>
          <t>Hello! How can we help you?  Report القيروان 3 307 3 : 51170300   Sent from my iPhone</t>
        </is>
      </c>
      <c r="E1942" s="4" t="inlineStr">
        <is>
          <t>51170300</t>
        </is>
      </c>
    </row>
    <row r="1943" ht="18" customHeight="1">
      <c r="A1943" s="5" t="inlineStr">
        <is>
          <t>Fatema Arrfaj &lt;f6oum37@gmail.com&gt;</t>
        </is>
      </c>
      <c r="B1943" s="6" t="inlineStr">
        <is>
          <t>f6oum37@gmail.com</t>
        </is>
      </c>
      <c r="C1943" s="5">
        <f>?utf-8?B?2YXYs9it2YjZiNmI2YjZiNmHINmE2YrYtCDYqtix2K/ZiNmG2Ycg?=  =?utf-8?B?2KjZgdmH2YUgISEhIA==?=</f>
        <v/>
      </c>
      <c r="D1943" s="5" t="inlineStr">
        <is>
          <t>Hello! How can we help you?  لو سمحتو مسحوه يسوي مشاكل عائليه !!!!! لي متى بدز لكم ايميلات تمسحونه يعني !!!!   Report سنيورين لبعض : 99957988   Sent from my iPhone</t>
        </is>
      </c>
      <c r="E1943" s="7" t="inlineStr">
        <is>
          <t>99957988</t>
        </is>
      </c>
    </row>
    <row r="1944" ht="18" customHeight="1">
      <c r="A1944" s="2">
        <f>?utf-8?B?2YfYr9mK2YQg2KfZhNi02YXYsdmK?= &lt;hadeel2413@gmail.com&gt;</f>
        <v/>
      </c>
      <c r="B1944" s="3" t="inlineStr">
        <is>
          <t>hadeel2413@gmail.com</t>
        </is>
      </c>
      <c r="C1944" s="2" t="inlineStr"/>
      <c r="D1944" s="2" t="inlineStr">
        <is>
          <t>Hello! How can we help you?  Report قطعه 10 شارع 9 منزل : 55856366   Sent from my iPhone</t>
        </is>
      </c>
      <c r="E1944" s="4" t="inlineStr">
        <is>
          <t>55856366</t>
        </is>
      </c>
    </row>
    <row r="1945" ht="18" customHeight="1">
      <c r="A1945" s="5">
        <f>?utf-8?B?SWJyYWhpbSBNb2hhbWVkIC0g2KfYqNix2KfZh9mK2YUg2YXYrdmF2K8=?= 	&lt;ibrahim.mohammad1234@ku.edu.kw&gt;</f>
        <v/>
      </c>
      <c r="B1945" s="6" t="inlineStr">
        <is>
          <t>ibrahim.mohammad1234@ku.edu.kw</t>
        </is>
      </c>
      <c r="C1945" s="5">
        <f>?utf-8?B?2KjYsdis2KfYoSDYp9mE2KrZiNin2LXZhCA=?=</f>
        <v/>
      </c>
      <c r="D1945" s="5" t="inlineStr">
        <is>
          <t xml:space="preserve">Hello! How can we help you?  ما الحل ؟ دفعت فلوس وطلبت حذف بعض الاسماء علي الرقم 50348763 ولكم جزيل الشكر ،،، 🌹🌹 </t>
        </is>
      </c>
      <c r="E1945" s="7" t="inlineStr">
        <is>
          <t>50348763</t>
        </is>
      </c>
    </row>
    <row r="1946" ht="18" customHeight="1">
      <c r="A1946" s="2">
        <f>?utf-8?B?2LnYqNiv2KfZhNmE2Ycg2KfZhNi52KjYr9in2YTZhNmH?= &lt;5laak5laa@gmail.com&gt;</f>
        <v/>
      </c>
      <c r="B1946" s="3" t="inlineStr">
        <is>
          <t>5laak5laa@gmail.com</t>
        </is>
      </c>
      <c r="C1946" s="2">
        <f>?utf-8?B?2YTYp9mK2LnYrNio2YbZiiDYp9iz2YXZiiDZh9iw2Kcg2YTZitiz?=  =?utf-8?B?INin2LPZhdmK?=</f>
        <v/>
      </c>
      <c r="D1946" s="2" t="inlineStr">
        <is>
          <t>Hello! How can we help you?  Report عبالله السعيد العويص : 55292423   ‫أُرسلت من الـ iPhone‬</t>
        </is>
      </c>
      <c r="E1946" s="4" t="inlineStr">
        <is>
          <t>55292423</t>
        </is>
      </c>
    </row>
    <row r="1947" ht="18" customHeight="1">
      <c r="A1947" s="5" t="inlineStr">
        <is>
          <t>Fatima AlThunayan &lt;f.althunayan91@gmail.com&gt;</t>
        </is>
      </c>
      <c r="B1947" s="6" t="inlineStr">
        <is>
          <t>f.althunayan91@gmail.com</t>
        </is>
      </c>
      <c r="C1947" s="5" t="inlineStr"/>
      <c r="D1947" s="5" t="inlineStr">
        <is>
          <t xml:space="preserve"> عيب  This is very disrespectful      Hello! How can we help you?  Report Bint Elhailega- : 96905000  </t>
        </is>
      </c>
      <c r="E1947" s="7" t="inlineStr">
        <is>
          <t>96905000</t>
        </is>
      </c>
    </row>
    <row r="1948" ht="18" customHeight="1">
      <c r="A1948" s="2" t="inlineStr">
        <is>
          <t>Abdullah &lt;lt.abdulla.alwatyan@gmail.com&gt;</t>
        </is>
      </c>
      <c r="B1948" s="3" t="inlineStr">
        <is>
          <t>lt.abdulla.alwatyan@gmail.com</t>
        </is>
      </c>
      <c r="C1948" s="2">
        <f>?utf-8?B?2KfYs9in2KbZhw==?=</f>
        <v/>
      </c>
      <c r="D1948" s="2" t="inlineStr">
        <is>
          <t>﻿ Hello! How can we help you?  Report عبداللة هوز 1 بيحب يمص حبووب : 50778592   Sent from my iPhone</t>
        </is>
      </c>
      <c r="E1948" s="4" t="inlineStr">
        <is>
          <t>50778592</t>
        </is>
      </c>
    </row>
    <row r="1949" ht="18" customHeight="1">
      <c r="A1949" s="5" t="inlineStr">
        <is>
          <t>New Day86 &lt;nday6364@gmail.com&gt;</t>
        </is>
      </c>
      <c r="B1949" s="6" t="inlineStr">
        <is>
          <t>nday6364@gmail.com</t>
        </is>
      </c>
      <c r="C1949" s="5" t="inlineStr"/>
      <c r="D1949" s="5" t="inlineStr">
        <is>
          <t> </t>
        </is>
      </c>
      <c r="E1949" s="7" t="inlineStr"/>
    </row>
    <row r="1950" ht="18" customHeight="1">
      <c r="A1950" s="2" t="inlineStr">
        <is>
          <t>"Talal.alqarawi" &lt;talal.alqarawi@gmail.com&gt;</t>
        </is>
      </c>
      <c r="B1950" s="3" t="inlineStr">
        <is>
          <t>talal.alqarawi@gmail.com</t>
        </is>
      </c>
      <c r="C1950" s="2">
        <f>?utf-8?B?2KjZitin2YbYp9iqINiu2KfYtdmHINmK2LHYrNmJINmF2LPYrdmH?=  =?utf-8?B?2Kc=?=</f>
        <v/>
      </c>
      <c r="D1950" s="2" t="inlineStr">
        <is>
          <t>Hello! How can we help you?  Report بوعبدالرحمن صاحب بيت الوفرة ق 1 ش 108 قسيمة 292 : 94100511   Sent from my iPhone</t>
        </is>
      </c>
      <c r="E1950" s="4" t="inlineStr">
        <is>
          <t>94100511</t>
        </is>
      </c>
    </row>
    <row r="1951" ht="18" customHeight="1">
      <c r="A1951" s="5">
        <f>?utf-8?B?2LnYqNiv2KfZhNmE2Ycg2KfZhNi52YbYstmK?= &lt;aa.b.aq8@gmail.com&gt;</f>
        <v/>
      </c>
      <c r="B1951" s="6" t="inlineStr">
        <is>
          <t>aa.b.aq8@gmail.com</t>
        </is>
      </c>
      <c r="C1951" s="5">
        <f>?utf-8?Q?=D8=A7=D8=B1=D8=AC=D9=88_=D9=85=D8=B3=D8=AD_=D8=B1?=  =?utf-8?Q?=D9=82=D9=85=D9=8A_=D9=85=D9=86_=D9=85=D9=86=D9=88_?=  =?utf-8?Q?=D8=AF=D8=A7=D9=82_99419543?=</f>
        <v/>
      </c>
      <c r="D1951" s="5" t="inlineStr">
        <is>
          <t>Hello! How can we help you?  Report مشعل بدر- : 99419543   ‫أُرسلت من الـ iPhone‬</t>
        </is>
      </c>
      <c r="E1951" s="7" t="inlineStr">
        <is>
          <t>99419543</t>
        </is>
      </c>
    </row>
    <row r="1952" ht="18" customHeight="1">
      <c r="A1952" s="2">
        <f>?utf-8?B?2LnYqNiv2KfZhNmE2Ycg2KfZhNi52YbYstmK?= &lt;aa.b.aq8@gmail.com&gt;</f>
        <v/>
      </c>
      <c r="B1952" s="3" t="inlineStr">
        <is>
          <t>aa.b.aq8@gmail.com</t>
        </is>
      </c>
      <c r="C1952" s="2">
        <f>?utf-8?Q?=D8=A7=D8=B1=D8=AC=D9=88_=D9=85=D8=B3=D8=AD_=D8=B1?=  =?utf-8?Q?=D9=82=D9=85=D9=8A_=D9=85=D9=86_=D9=85=D9=86=D9=88_?=  =?utf-8?Q?=D8=AF=D8=A7=D9=82_99419485?=</f>
        <v/>
      </c>
      <c r="D1952" s="2" t="inlineStr">
        <is>
          <t>Hello! How can we help you?  Report مشاري- : 99419485   ‫أُرسلت من الـ iPhone‬</t>
        </is>
      </c>
      <c r="E1952" s="4" t="inlineStr">
        <is>
          <t>99419485</t>
        </is>
      </c>
    </row>
    <row r="1953" ht="18" customHeight="1">
      <c r="A1953" s="5" t="inlineStr">
        <is>
          <t>Ahmad Abdulraheem &lt;ahmad.abdulraheem37@gmail.com&gt;</t>
        </is>
      </c>
      <c r="B1953" s="6" t="inlineStr">
        <is>
          <t>ahmad.abdulraheem37@gmail.com</t>
        </is>
      </c>
      <c r="C1953" s="5">
        <f>?utf-8?B?2LfZhNioINit2LDZgSDYsdmC2YU=?=</f>
        <v/>
      </c>
      <c r="D1953" s="5" t="inlineStr">
        <is>
          <t>السلام عليكم. أنا دافع  عشان ما يطلع رقمي. 67604414  هذا رقمي و توا قعدت أشوف ولا رد. يعطيكم العافية.  Sent from my iPhone</t>
        </is>
      </c>
      <c r="E1953" s="7" t="inlineStr">
        <is>
          <t>67604414</t>
        </is>
      </c>
    </row>
    <row r="1954" ht="18" customHeight="1">
      <c r="A1954" s="2" t="inlineStr">
        <is>
          <t>Msa3d Almutairi &lt;msa3dzaid@icloud.com&gt;</t>
        </is>
      </c>
      <c r="B1954" s="3" t="inlineStr">
        <is>
          <t>msa3dzaid@icloud.com</t>
        </is>
      </c>
      <c r="C1954" s="2">
        <f>?utf-8?Q?Urgent_=F0=9F=94=B4=F0=9F=94=B4=F0=9F=94=B4?=</f>
        <v/>
      </c>
      <c r="D1954"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54" s="4" t="inlineStr">
        <is>
          <t>99952095</t>
        </is>
      </c>
    </row>
    <row r="1955" ht="18" customHeight="1">
      <c r="A1955" s="5" t="inlineStr">
        <is>
          <t>Msa3d Almutairi &lt;msa3dzaid@icloud.com&gt;</t>
        </is>
      </c>
      <c r="B1955" s="6" t="inlineStr">
        <is>
          <t>msa3dzaid@icloud.com</t>
        </is>
      </c>
      <c r="C1955" s="5">
        <f>?utf-8?Q?Urgent_=F0=9F=94=B4=F0=9F=94=B4=F0=9F=94=B4?=</f>
        <v/>
      </c>
      <c r="D1955" s="5"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55" s="7" t="inlineStr">
        <is>
          <t>99952095</t>
        </is>
      </c>
    </row>
    <row r="1956" ht="18" customHeight="1">
      <c r="A1956" s="2" t="inlineStr">
        <is>
          <t>Msa3d Almutairi &lt;msa3dzaid@icloud.com&gt;</t>
        </is>
      </c>
      <c r="B1956" s="3" t="inlineStr">
        <is>
          <t>msa3dzaid@icloud.com</t>
        </is>
      </c>
      <c r="C1956" s="2">
        <f>?utf-8?Q?Urgent_=F0=9F=94=B4=F0=9F=94=B4=F0=9F=94=B4?=</f>
        <v/>
      </c>
      <c r="D1956" s="2" t="inlineStr">
        <is>
          <t xml:space="preserve">      ﻿remove all these names its casing me alot of problems please   I emailed you alot and every time you says its done  And the names come back !!! ﻿       ﻿ Report 99952095 : My love ❤️ Report 99952095 : malak Report 99952095 : malak Report 99952095 : جابريه Report 99952095 : السالميه كبد محلي 20 j Report 99952095 : السالميه جبد j  Report 99952095 : مساعد زيد دغيم العميري ط Report 99952095 : يبي ياماها قديمه Report 99952095 : التيما 110 فحص الجابرية Report 99952095 : جابرية جابرية Report 99952095 : بقاله كنده د3 ش12 Report 99952095 : جابرية Report 99952095 : الجبريه Report 99952095 : ابو تركي اكورد Report 99952095 : مساعد زيد 22 Report 99952095 : مساعد زيد العميري  </t>
        </is>
      </c>
      <c r="E1956" s="4" t="inlineStr">
        <is>
          <t>99952095</t>
        </is>
      </c>
    </row>
    <row r="1957" ht="18" customHeight="1">
      <c r="A1957" s="5" t="inlineStr">
        <is>
          <t>Meshal Abdullah &lt;ku90906010@hotmail.com&gt;</t>
        </is>
      </c>
      <c r="B1957" s="6" t="inlineStr">
        <is>
          <t>ku90906010@hotmail.com</t>
        </is>
      </c>
      <c r="C1957" s="5" t="inlineStr"/>
      <c r="D1957" s="5" t="inlineStr">
        <is>
          <t xml:space="preserve">Hello! How can we help you?  Report مشعل هادي الطاهري : 90906010  ‫أُرسلت من الـ iPhone‬ </t>
        </is>
      </c>
      <c r="E1957" s="7" t="inlineStr">
        <is>
          <t>90906010</t>
        </is>
      </c>
    </row>
    <row r="1958" ht="18" customHeight="1">
      <c r="A1958" s="2" t="inlineStr">
        <is>
          <t>S O &lt;sb775@hotmail.com&gt;</t>
        </is>
      </c>
      <c r="B1958" s="3" t="inlineStr">
        <is>
          <t>sb775@hotmail.com</t>
        </is>
      </c>
      <c r="C1958" s="2">
        <f>?utf-8?B?2KrYudiv2Yog2LnZhNmJINin2YTYrti12YjYtdmK2Kkg?=</f>
        <v/>
      </c>
      <c r="D1958"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1958" s="4" t="inlineStr">
        <is>
          <t>55556774</t>
        </is>
      </c>
    </row>
    <row r="1959" ht="18" customHeight="1">
      <c r="A1959" s="5" t="inlineStr">
        <is>
          <t>Sultan Otibi &lt;Q8og@hotmail.com&gt;</t>
        </is>
      </c>
      <c r="B1959" s="6" t="inlineStr">
        <is>
          <t>Q8og@hotmail.com</t>
        </is>
      </c>
      <c r="C1959" s="5">
        <f>?utf-8?B?2K3YsNmBINin2LPZhdin2KEg2LrZitixINmE2KfYptmC2Kkg2KzYr9in?=</f>
        <v/>
      </c>
      <c r="D1959" s="5" t="inlineStr">
        <is>
          <t>﻿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t>
        </is>
      </c>
      <c r="E1959" s="7" t="inlineStr">
        <is>
          <t>55556774</t>
        </is>
      </c>
    </row>
    <row r="1960" ht="18" customHeight="1">
      <c r="A1960" s="2" t="inlineStr">
        <is>
          <t>Sultan Otibi &lt;Q8og@hotmail.com&gt;</t>
        </is>
      </c>
      <c r="B1960" s="3" t="inlineStr">
        <is>
          <t>Q8og@hotmail.com</t>
        </is>
      </c>
      <c r="C1960" s="2">
        <f>?utf-8?B?2K3YsNmBINin2LPZhdin2KEg2LrZitixINmE2KfYptmC2Kkg2KzYr9in?=</f>
        <v/>
      </c>
      <c r="D1960" s="2" t="inlineStr">
        <is>
          <t>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فطيرة  9 - دور ارضي فطيرة  10 - س ...</t>
        </is>
      </c>
      <c r="E1960" s="4" t="inlineStr">
        <is>
          <t>55556774</t>
        </is>
      </c>
    </row>
    <row r="1961" ht="18" customHeight="1">
      <c r="A1961" s="5" t="inlineStr">
        <is>
          <t>"LADDER 49 ." &lt;ladder_49_@hotmail.com&gt;</t>
        </is>
      </c>
      <c r="B1961" s="6" t="inlineStr">
        <is>
          <t>ladder_49_@hotmail.com</t>
        </is>
      </c>
      <c r="C1961" s="5">
        <f>?utf-8?B?2K7Yr9mF2Kkg2KfZhNio2YTZiNmDIA==?=</f>
        <v/>
      </c>
      <c r="D1961" s="5" t="inlineStr">
        <is>
          <t xml:space="preserve">Hello! How can we help you?  السلام عليكم اخوي أنا سويت خدمة البلوك بس بعد 6 اشهر رد طلب مني مره ثانيه اني اجدد والاشتراك المفروض سنه ممكن تساعدني في هذا الموضوع هذا الرقم 97996466 Sent from my iPhone </t>
        </is>
      </c>
      <c r="E1961" s="7" t="inlineStr">
        <is>
          <t>97996466</t>
        </is>
      </c>
    </row>
    <row r="1962" ht="18" customHeight="1">
      <c r="A1962" s="2" t="inlineStr">
        <is>
          <t>Msa3d Almutairi &lt;msa3dzaid@icloud.com&gt;</t>
        </is>
      </c>
      <c r="B1962" s="3" t="inlineStr">
        <is>
          <t>msa3dzaid@icloud.com</t>
        </is>
      </c>
      <c r="C1962" s="2">
        <f>?utf-8?Q?Urgent_=F0=9F=94=B4=F0=9F=94=B4=F0=9F=94=B4?=  =?utf-8?Q?=F0=9F=94=B4?=</f>
        <v/>
      </c>
      <c r="D1962" s="2" t="inlineStr">
        <is>
          <t xml:space="preserve">  Unrgent 🔴🔴🔴🔴🔴🔴🔴🔴🔴🔴🔴  ﻿remove all these names its casing me alot of problems please   I emailed you alot and every time you says its done  And the names come back !!! ﻿       &gt; ﻿ &gt; Report 99952095 : My love ❤️ &gt; Report 99952095 : malak &gt; Report 99952095 : malak &gt; Report 99952095 : جابريه &gt; Report 99952095 : السالميه كبد محلي 20 j &gt; Report 99952095 : السالميه جبد j &gt; Report 99952095 : مساعد زيد دغيم العميري ط &gt; Report 99952095 : يبي ياماها قديمه &gt; Report 99952095 : التيما 110 فحص الجابرية &gt; Report 99952095 : جابرية جابرية &gt; Report 99952095 : بقاله كنده د3 ش12 &gt; Report 99952095 : جابرية &gt; Report 99952095 : الجبريه &gt; Report 99952095 : ابو تركي اكورد &gt; Report 99952095 : مساعد زيد 22 &gt; Report 99 ...</t>
        </is>
      </c>
      <c r="E1962" s="4" t="inlineStr">
        <is>
          <t>99952095</t>
        </is>
      </c>
    </row>
    <row r="1963" ht="18" customHeight="1">
      <c r="A1963" s="5" t="inlineStr">
        <is>
          <t>Msa3d Almutairi &lt;msa3dzaid@icloud.com&gt;</t>
        </is>
      </c>
      <c r="B1963" s="6" t="inlineStr">
        <is>
          <t>msa3dzaid@icloud.com</t>
        </is>
      </c>
      <c r="C1963" s="5">
        <f>?utf-8?Q?Urgent_=F0=9F=94=B4=F0=9F=94=B4=F0=9F=94=B4?=  =?utf-8?Q?=F0=9F=94=B4?=</f>
        <v/>
      </c>
      <c r="D1963" s="5" t="inlineStr">
        <is>
          <t xml:space="preserve">   Unrgent 🔴🔴🔴🔴🔴🔴🔴🔴🔴🔴🔴  ﻿remove all these names its casing me alot of problems please   I emailed you alot and every time you says its done  And the names come back !!! ﻿       &gt; ﻿ &gt; Report 99952095 : My love ❤️ &gt; Report 99952095 : malak &gt; Report 99952095 : malak &gt; Report 99952095 : جابريه &gt; Report 99952095 : السالميه كبد محلي 20 j &gt; Report 99952095 : السالميه جبد j &gt; Report 99952095 : مساعد زيد دغيم العميري ط &gt; Report 99952095 : يبي ياماها قديمه &gt; Report 99952095 : التيما 110 فحص الجابرية &gt; Report 99952095 : جابرية جابرية &gt; Report 99952095 : بقاله كنده د3 ش12 &gt; Report 99952095 : جابرية &gt; Report 99952095 : الجبريه &gt; Report 99952095 : ابو تركي اكورد &gt; Report 99952095 : مساعد زيد 22 &gt; Report 9 ...</t>
        </is>
      </c>
      <c r="E1963" s="7" t="inlineStr">
        <is>
          <t>99952095</t>
        </is>
      </c>
    </row>
    <row r="1964" ht="18" customHeight="1">
      <c r="A1964" s="2" t="inlineStr">
        <is>
          <t>Fahad Sbahi &lt;Fahad.sbahi@hotmail.com&gt;</t>
        </is>
      </c>
      <c r="B1964" s="3" t="inlineStr">
        <is>
          <t>Fahad.sbahi@hotmail.com</t>
        </is>
      </c>
      <c r="C1964" s="2">
        <f>?utf-8?B?2K3YsNmBINin2YTYp9iz2YUg2YrYs9io2Kgg2YXYtNin2YPZhCDYudin2KY=?=  =?utf-8?B?2YTZitmHINmI2LLZiNis2YrZhw==?=</f>
        <v/>
      </c>
      <c r="D1964" s="2" t="inlineStr">
        <is>
          <t xml:space="preserve">حذف الاسم يسبب مشاكل عائليه وزوجيه  Report أبو-سباهي : 67669225  ‫أُرسلت من الـ iPhone‬ </t>
        </is>
      </c>
      <c r="E1964" s="4" t="inlineStr">
        <is>
          <t>67669225</t>
        </is>
      </c>
    </row>
    <row r="1965" ht="18" customHeight="1">
      <c r="A1965" s="5" t="inlineStr">
        <is>
          <t>S O &lt;sb775@hotmail.com&gt;</t>
        </is>
      </c>
      <c r="B1965" s="6" t="inlineStr">
        <is>
          <t>sb775@hotmail.com</t>
        </is>
      </c>
      <c r="C1965" s="5">
        <f>?utf-8?B?2KrYudiv2Yog2LnZhNmJINin2YTYrti12YjYtdmK2Kkg?=</f>
        <v/>
      </c>
      <c r="D1965" s="5" t="inlineStr">
        <is>
          <t>﻿  Hello! How can we help you?  سلام عليكم ورحمة الله وبركاته  لو سمحت .  راسلتكم من قبل بخصوص رقمي اللي هو  ( 55556774 )   فيه اسامي غلط تطلع للناس ومافيها اي احترام او خصوصية من ضمنها مكتوب زبون سجادة ومادري شنو مالها داعي مابيها تطلع للناس امور خاصة وشخصية واشكر تفهمكم شلتوها والحين ارسلتو لي رساله انتهى اشتراكك في البلوك انا ماكنت ابي  بلوك او اشتراك مؤقت ماعندي مشكله اي اسم لي مسجليني فيه يطلع بس فيه اسامي غلط وفيها تعدي على الخصوصية  واتمنى ازاله لها ازالة تامة وماترد تطلع للناس مرة ثانية اللي هي هذي الاسامي    1 - زبون سجادة  2 - سلطان العتيبي خط 99998  3 - زبون فيلا الفنطاس عايز صور  4 - 900 سلطان العتيبي فنيطيس  5 - ابوفادي  6 - يبي ايجار فيلا بهبهاني  8 - سلطان العتيبي ط دوبل ابو ف ...</t>
        </is>
      </c>
      <c r="E1965" s="7" t="inlineStr">
        <is>
          <t>55556774</t>
        </is>
      </c>
    </row>
    <row r="1966" ht="18" customHeight="1">
      <c r="A1966" s="2" t="inlineStr">
        <is>
          <t>"Sakina T. Al Azmi" &lt;s.alazmi@hotmail.com&gt;</t>
        </is>
      </c>
      <c r="B1966" s="3" t="inlineStr">
        <is>
          <t>s.alazmi@hotmail.com</t>
        </is>
      </c>
      <c r="C1966" s="2">
        <f>?utf-8?B?2KfZhNi62KfYoSDYp9mE2LHZgtmFINmI2LDZhNmDINmE2YjYrNmI2K8g2LE=?=  =?utf-8?B?2YLZhdmKINin2YTZhdiv2YbZig==?=</f>
        <v/>
      </c>
      <c r="D1966" s="2" t="inlineStr">
        <is>
          <t xml:space="preserve">Hello! How can we help you?  Report سكينه العازمي 283062301266 : 66293934  Sent from my iPhone </t>
        </is>
      </c>
      <c r="E1966" s="4" t="inlineStr">
        <is>
          <t>66293934</t>
        </is>
      </c>
    </row>
    <row r="1967" ht="18" customHeight="1">
      <c r="A1967" s="5" t="inlineStr">
        <is>
          <t>"The Spreedly Team" &lt;noreply@spreedly.com&gt;</t>
        </is>
      </c>
      <c r="B1967" s="6" t="inlineStr">
        <is>
          <t>noreply@spreedly.com</t>
        </is>
      </c>
      <c r="C1967" s="5">
        <f>?UTF-8?B?VGhlIFNwcmVlZGx5IE5ld3NsZXR0ZXIg4oCTIFNlcHRlbWJlciBF?=  =?UTF-8?B?ZGl0aW9u?=</f>
        <v/>
      </c>
      <c r="D1967" s="5" t="inlineStr">
        <is>
          <t xml:space="preserve"> 									Welcome to the September edition of the Spreedly Newsletter   Welcome to the September edition of the Spreedly Newsletter.   September has been an exciting month at Spreedly! We’re thrilled to share that Dodgeball has joined the Spreedly family, bringing AI-powered fraud orchestration to help you protect your payments and make smarter decisions.  Our team also had a fantastic time connecting with the payment leaders at PaymentsFN, celebrating a successful event full of insights and conversations.   Read on for the latest updates, product news, and ways we’re helping you get more out of your payments stack.  									   									In Case You Missed It: Spreedly Acquires Dodgeball  On ...</t>
        </is>
      </c>
      <c r="E196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2026-04-12T17:34:56Z</dcterms:created>
  <dcterms:modified xsi:type="dcterms:W3CDTF">2026-04-12T17:34:57Z</dcterms:modified>
</cp:coreProperties>
</file>