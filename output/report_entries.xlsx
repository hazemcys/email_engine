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5">
    <fill>
      <patternFill/>
    </fill>
    <fill>
      <patternFill patternType="gray125"/>
    </fill>
    <fill>
      <patternFill patternType="solid">
        <fgColor rgb="001F4E79"/>
      </patternFill>
    </fill>
    <fill>
      <patternFill patternType="solid">
        <fgColor rgb="00EDF4FC"/>
      </patternFill>
    </fill>
    <fill>
      <patternFill patternType="solid">
        <fgColor rgb="00FFFF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right" vertical="center"/>
    </xf>
    <xf numFmtId="0" fontId="2" fillId="3" borderId="0" applyAlignment="1" pivotButton="0" quotePrefix="0" xfId="0">
      <alignment horizontal="left" vertical="center"/>
    </xf>
    <xf numFmtId="49" fontId="2" fillId="3" borderId="0" applyAlignment="1" pivotButton="0" quotePrefix="0" xfId="0">
      <alignment horizontal="center" vertical="center"/>
    </xf>
    <xf numFmtId="0" fontId="2" fillId="4" borderId="0" applyAlignment="1" pivotButton="0" quotePrefix="0" xfId="0">
      <alignment horizontal="right" vertical="center"/>
    </xf>
    <xf numFmtId="0" fontId="2" fillId="4" borderId="0" applyAlignment="1" pivotButton="0" quotePrefix="0" xfId="0">
      <alignment horizontal="left" vertical="center"/>
    </xf>
    <xf numFmtId="49" fontId="2"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23"/>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42" customWidth="1" min="3" max="3"/>
    <col width="68" customWidth="1" min="4" max="4"/>
    <col width="25" customWidth="1" min="5" max="5"/>
    <col width="38" customWidth="1" min="6" max="6"/>
    <col width="14" customWidth="1" min="7" max="7"/>
  </cols>
  <sheetData>
    <row r="1" ht="22" customHeight="1">
      <c r="A1" s="1" t="inlineStr">
        <is>
          <t>sender_id</t>
        </is>
      </c>
      <c r="B1" s="1" t="inlineStr">
        <is>
          <t>sender_email</t>
        </is>
      </c>
      <c r="C1" s="1" t="inlineStr">
        <is>
          <t>title</t>
        </is>
      </c>
      <c r="D1" s="1" t="inlineStr">
        <is>
          <t>body</t>
        </is>
      </c>
      <c r="E1" s="1" t="inlineStr">
        <is>
          <t>phones</t>
        </is>
      </c>
      <c r="F1" s="1" t="inlineStr">
        <is>
          <t>report_name</t>
        </is>
      </c>
      <c r="G1" s="1" t="inlineStr">
        <is>
          <t>report_phone</t>
        </is>
      </c>
    </row>
    <row r="2" ht="18" customHeight="1">
      <c r="A2" s="2" t="inlineStr">
        <is>
          <t>Hadeel Edan &lt;hadeeledan918@gmail.com&gt;</t>
        </is>
      </c>
      <c r="B2" s="3" t="inlineStr">
        <is>
          <t>hadeeledan918@gmail.com</t>
        </is>
      </c>
      <c r="C2" s="2" t="inlineStr">
        <is>
          <t>My address</t>
        </is>
      </c>
      <c r="D2" s="2" t="inlineStr">
        <is>
          <t xml:space="preserve">Hello! How can we help you?  Report ز الزهراء ق 6 ش 607 م 45 : 99031145  My address is shown </t>
        </is>
      </c>
      <c r="E2" s="4" t="inlineStr">
        <is>
          <t>99031145</t>
        </is>
      </c>
      <c r="F2" s="2" t="inlineStr">
        <is>
          <t>ز الزهراء ق 6 ش 607 م 45</t>
        </is>
      </c>
      <c r="G2" s="4" t="inlineStr">
        <is>
          <t>99031145</t>
        </is>
      </c>
    </row>
    <row r="3" ht="18" customHeight="1">
      <c r="A3" s="5" t="inlineStr">
        <is>
          <t>alasas@gmx.com</t>
        </is>
      </c>
      <c r="B3" s="6" t="inlineStr">
        <is>
          <t>alasas@gmx.com</t>
        </is>
      </c>
      <c r="C3" s="5">
        <f>?utf-8?B?2KfZhNix2KzYp9ihINin2YTYutin2KEg2YjYrdiw2YEg2KfZhNin?=  =?utf-8?B?2LPZhSDZhdmGINiz2KzZhNin2Kog2KfZhNio2LHZhtin2YXYrA==?=</f>
        <v/>
      </c>
      <c r="D3" s="5" t="inlineStr">
        <is>
          <t>Hello! How can we help you?  Report امام النادي- : 51011133  الرجاء الغاء وحذف الاسم من سجلات البرنامج ‫أُرسلت من الـ iPhone‬</t>
        </is>
      </c>
      <c r="E3" s="7" t="inlineStr">
        <is>
          <t>51011133</t>
        </is>
      </c>
      <c r="F3" s="5" t="inlineStr">
        <is>
          <t>امام النادي-</t>
        </is>
      </c>
      <c r="G3" s="7" t="inlineStr">
        <is>
          <t>51011133</t>
        </is>
      </c>
    </row>
    <row r="4" ht="18" customHeight="1">
      <c r="A4" s="2" t="inlineStr">
        <is>
          <t>alasas@gmx.com</t>
        </is>
      </c>
      <c r="B4" s="3" t="inlineStr">
        <is>
          <t>alasas@gmx.com</t>
        </is>
      </c>
      <c r="C4" s="2">
        <f>?utf-8?B?2KfZhNix2KzYp9ihINin2YTYutin2KEg2YjYrdiw2YEg2KfZhNin?=  =?utf-8?B?2LPZhSDZhdmGINiz2KzZhNin2Kog2KfZhNio2LHZhtin2YXYrA==?=</f>
        <v/>
      </c>
      <c r="D4" s="2" t="inlineStr">
        <is>
          <t>Hello! How can we help you?  Report أمام مسجد النادي أبوعبدالعزيز-أحمد عبدالهادي : 51011133  الرجاء الغاء وحذف الاسم من سجلات البرنامج ‫أُرسلت من الـ iPhone‬</t>
        </is>
      </c>
      <c r="E4" s="4" t="inlineStr">
        <is>
          <t>51011133</t>
        </is>
      </c>
      <c r="F4" s="2" t="inlineStr">
        <is>
          <t>أمام مسجد النادي أبوعبدالعزيز-أحمد عبدالهادي</t>
        </is>
      </c>
      <c r="G4" s="4" t="inlineStr">
        <is>
          <t>51011133</t>
        </is>
      </c>
    </row>
    <row r="5" ht="18" customHeight="1">
      <c r="A5" s="5">
        <f>?utf-8?B?2KfZhNiu2KfZhNiv2Yog8J+MuQ==?= &lt;f-1-u@hotmail.com&gt;</f>
        <v/>
      </c>
      <c r="B5" s="6" t="inlineStr">
        <is>
          <t>f-1-u@hotmail.com</t>
        </is>
      </c>
      <c r="C5" s="5">
        <f>?utf-8?B?2KfYs9mFINmF2LPZitihINmE2Yog?=</f>
        <v/>
      </c>
      <c r="D5" s="5" t="inlineStr">
        <is>
          <t xml:space="preserve">Hello! How can we help you?  Report علي الخالدي سكاليد 4200 عارضه انستقرام 2007 انستقر : 51511454  ‫أُرسلت من الـ iPhone‬ </t>
        </is>
      </c>
      <c r="E5" s="7" t="inlineStr">
        <is>
          <t>51511454</t>
        </is>
      </c>
      <c r="F5" s="5" t="inlineStr">
        <is>
          <t>علي الخالدي سكاليد 4200 عارضه انستقرام 2007 انستقر</t>
        </is>
      </c>
      <c r="G5" s="7" t="inlineStr">
        <is>
          <t>51511454</t>
        </is>
      </c>
    </row>
    <row r="6" ht="18" customHeight="1">
      <c r="A6" s="2" t="inlineStr">
        <is>
          <t>Mona Alrasheedi &lt;moonati3030@icloud.com&gt;</t>
        </is>
      </c>
      <c r="B6" s="3" t="inlineStr">
        <is>
          <t>moonati3030@icloud.com</t>
        </is>
      </c>
      <c r="C6" s="2">
        <f>?utf-8?B?2KfYsdis2Ygg2YXYs9itINin2YTYp9iz2YUg2KfZhNmF2LPYrNmE?=  =?utf-8?B?INi52YTZiSDYsdmC2YXZiiA=?=</f>
        <v/>
      </c>
      <c r="D6" s="2" t="inlineStr">
        <is>
          <t>Hello! How can we help you?  Report تيماء : 50049919   ‫أُرسلت من الـ iPhone‬</t>
        </is>
      </c>
      <c r="E6" s="4" t="inlineStr">
        <is>
          <t>50049919</t>
        </is>
      </c>
      <c r="F6" s="2" t="inlineStr">
        <is>
          <t>تيماء</t>
        </is>
      </c>
      <c r="G6" s="4" t="inlineStr">
        <is>
          <t>50049919</t>
        </is>
      </c>
    </row>
    <row r="7" ht="18" customHeight="1">
      <c r="A7" s="5" t="inlineStr">
        <is>
          <t>Mona Alrasheedi &lt;moonati3030@icloud.com&gt;</t>
        </is>
      </c>
      <c r="B7" s="6" t="inlineStr">
        <is>
          <t>moonati3030@icloud.com</t>
        </is>
      </c>
      <c r="C7" s="5" t="inlineStr">
        <is>
          <t>Please delete this name</t>
        </is>
      </c>
      <c r="D7" s="5" t="inlineStr">
        <is>
          <t>Hello! How can we help you?  Report تيماء : 50049919   ‫أُرسلت من الـ iPhone‬</t>
        </is>
      </c>
      <c r="E7" s="7" t="inlineStr">
        <is>
          <t>50049919</t>
        </is>
      </c>
      <c r="F7" s="5" t="inlineStr">
        <is>
          <t>تيماء</t>
        </is>
      </c>
      <c r="G7" s="7" t="inlineStr">
        <is>
          <t>50049919</t>
        </is>
      </c>
    </row>
    <row r="8" ht="18" customHeight="1">
      <c r="A8" s="2" t="inlineStr">
        <is>
          <t>Mona Alrasheedi &lt;moonati3030@icloud.com&gt;</t>
        </is>
      </c>
      <c r="B8" s="3" t="inlineStr">
        <is>
          <t>moonati3030@icloud.com</t>
        </is>
      </c>
      <c r="C8" s="2">
        <f>?utf-8?B?2KfYsdis2Ygg2YXYs9itINin2YTYp9iz2YUg2KfZhNmF2K7YstmG?=  =?utf-8?B?INi52YTZiSDYsdmC2YXZig==?=</f>
        <v/>
      </c>
      <c r="D8" s="2" t="inlineStr">
        <is>
          <t>Hello! How can we help you?  Report تيماء : 50049919   ‫أُرسلت من الـ iPhone‬</t>
        </is>
      </c>
      <c r="E8" s="4" t="inlineStr">
        <is>
          <t>50049919</t>
        </is>
      </c>
      <c r="F8" s="2" t="inlineStr">
        <is>
          <t>تيماء</t>
        </is>
      </c>
      <c r="G8" s="4" t="inlineStr">
        <is>
          <t>50049919</t>
        </is>
      </c>
    </row>
    <row r="9" ht="18" customHeight="1">
      <c r="A9" s="5" t="inlineStr">
        <is>
          <t>abdullah alfoudari &lt;foudari24@gmail.com&gt;</t>
        </is>
      </c>
      <c r="B9" s="6" t="inlineStr">
        <is>
          <t>foudari24@gmail.com</t>
        </is>
      </c>
      <c r="C9" s="5">
        <f>?utf-8?B?2KXYs9in2KHYqSDYtNiu2LXZitipIA==?=</f>
        <v/>
      </c>
      <c r="D9" s="5" t="inlineStr">
        <is>
          <t>Hello! How can we help you?  Report حجم عبدالله فودري : 50114422   ‫أُرسلت من الـ iPhone‬</t>
        </is>
      </c>
      <c r="E9" s="7" t="inlineStr">
        <is>
          <t>50114422</t>
        </is>
      </c>
      <c r="F9" s="5" t="inlineStr">
        <is>
          <t>حجم عبدالله فودري</t>
        </is>
      </c>
      <c r="G9" s="7" t="inlineStr">
        <is>
          <t>50114422</t>
        </is>
      </c>
    </row>
    <row r="10" ht="18" customHeight="1">
      <c r="A10" s="2" t="inlineStr">
        <is>
          <t>abdullah alfoudari &lt;foudari24@gmail.com&gt;</t>
        </is>
      </c>
      <c r="B10" s="3" t="inlineStr">
        <is>
          <t>foudari24@gmail.com</t>
        </is>
      </c>
      <c r="C10" s="2">
        <f>?utf-8?B?2LDZg9ixINmF2LnZhNmI2YXYp9iqINiu2KfYtdipIA==?=</f>
        <v/>
      </c>
      <c r="D10" s="2" t="inlineStr">
        <is>
          <t>Hello! How can we help you?  Report عبدالله ولد بدور : 50114422   ‫أُرسلت من الـ iPhone‬</t>
        </is>
      </c>
      <c r="E10" s="4" t="inlineStr">
        <is>
          <t>50114422</t>
        </is>
      </c>
      <c r="F10" s="2" t="inlineStr">
        <is>
          <t>عبدالله ولد بدور</t>
        </is>
      </c>
      <c r="G10" s="4" t="inlineStr">
        <is>
          <t>50114422</t>
        </is>
      </c>
    </row>
    <row r="11" ht="18" customHeight="1">
      <c r="A11" s="5" t="inlineStr">
        <is>
          <t>Naeem Almatrouk &lt;naeemalmatrouk@icloud.com&gt;</t>
        </is>
      </c>
      <c r="B11" s="6" t="inlineStr">
        <is>
          <t>naeemalmatrouk@icloud.com</t>
        </is>
      </c>
      <c r="C11" s="5">
        <f>?utf-8?B?2K3YsNmBINin2YTYp9mK2YXZitmEIA==?=</f>
        <v/>
      </c>
      <c r="D11" s="5" t="inlineStr">
        <is>
          <t>Hello! How can we help you?  Report -senyarco@hotmail.com : 62221910  برجاء حذف البريد الإلكتروني الخاص فيني   لو سمحت يوجد عده اسماء خاصه فيني وتم تخزين الايميل الخاص فيني  برجاء مسح الايميل المسجل فى البحث لديكم  مع الشكر   Sent from my iPhone</t>
        </is>
      </c>
      <c r="E11" s="7" t="inlineStr">
        <is>
          <t>62221910</t>
        </is>
      </c>
      <c r="F11" s="5" t="inlineStr">
        <is>
          <t>-senyarco@hotmail.com</t>
        </is>
      </c>
      <c r="G11" s="7" t="inlineStr">
        <is>
          <t>62221910</t>
        </is>
      </c>
    </row>
    <row r="12" ht="18" customHeight="1">
      <c r="A12" s="2" t="inlineStr">
        <is>
          <t>Abdulmohsen ALShaya &lt;ayalshaye3@icloud.com&gt;</t>
        </is>
      </c>
      <c r="B12" s="3" t="inlineStr">
        <is>
          <t>ayalshaye3@icloud.com</t>
        </is>
      </c>
      <c r="C12" s="2" t="inlineStr"/>
      <c r="D12" s="2" t="inlineStr">
        <is>
          <t>Hello! How can we help you?  Report زبون عبدالمحسن الشايع عزوبى صاحب : 91111001  Please remove only this it is wrong and causing problems   Best regards... Abdulmohsen Y. ALShaya</t>
        </is>
      </c>
      <c r="E12" s="4" t="inlineStr">
        <is>
          <t>91111001</t>
        </is>
      </c>
      <c r="F12" s="2" t="inlineStr">
        <is>
          <t>زبون عبدالمحسن الشايع عزوبى صاحب</t>
        </is>
      </c>
      <c r="G12" s="4" t="inlineStr">
        <is>
          <t>91111001</t>
        </is>
      </c>
    </row>
    <row r="13" ht="18" customHeight="1">
      <c r="A13" s="5" t="inlineStr">
        <is>
          <t>Saud Alkandari &lt;saud.alkandari94@gmail.com&gt;</t>
        </is>
      </c>
      <c r="B13" s="6" t="inlineStr">
        <is>
          <t>saud.alkandari94@gmail.com</t>
        </is>
      </c>
      <c r="C13" s="5" t="inlineStr"/>
      <c r="D13" s="5" t="inlineStr">
        <is>
          <t>Hello! How can we help you?  Report سعود الكندري بوكمون : 99810585   Sent from my iPhone</t>
        </is>
      </c>
      <c r="E13" s="7" t="inlineStr">
        <is>
          <t>99810585</t>
        </is>
      </c>
      <c r="F13" s="5" t="inlineStr">
        <is>
          <t>سعود الكندري بوكمون</t>
        </is>
      </c>
      <c r="G13" s="7" t="inlineStr">
        <is>
          <t>99810585</t>
        </is>
      </c>
    </row>
    <row r="14" ht="18" customHeight="1">
      <c r="A14" s="2" t="inlineStr">
        <is>
          <t>Saud Alkandari &lt;saud.alkandari94@gmail.com&gt;</t>
        </is>
      </c>
      <c r="B14" s="3" t="inlineStr">
        <is>
          <t>saud.alkandari94@gmail.com</t>
        </is>
      </c>
      <c r="C14" s="2" t="inlineStr"/>
      <c r="D14" s="2" t="inlineStr">
        <is>
          <t>Hello! How can we help you?  Report لا ترد يحنج Soud- : 99810585   Sent from my iPhone</t>
        </is>
      </c>
      <c r="E14" s="4" t="inlineStr">
        <is>
          <t>99810585</t>
        </is>
      </c>
      <c r="F14" s="2" t="inlineStr">
        <is>
          <t>لا ترد يحنج Soud-</t>
        </is>
      </c>
      <c r="G14" s="4" t="inlineStr">
        <is>
          <t>99810585</t>
        </is>
      </c>
    </row>
    <row r="15" ht="18" customHeight="1">
      <c r="A15" s="5" t="inlineStr">
        <is>
          <t>MOHAMMAD ALDUWAIKH &lt;m_alduwaikh@yahoo.com&gt;</t>
        </is>
      </c>
      <c r="B15" s="6" t="inlineStr">
        <is>
          <t>m_alduwaikh@yahoo.com</t>
        </is>
      </c>
      <c r="C15" s="5">
        <f>?utf-8?B?2KfZhNix2KzYp9ihINit2LDZgSDYp9mE2KfYs9mF?=</f>
        <v/>
      </c>
      <c r="D15" s="5" t="inlineStr">
        <is>
          <t>Hello! How can we help you?  Report لولوتي وطنيه : 65620667   Sent from my iPhone</t>
        </is>
      </c>
      <c r="E15" s="7" t="inlineStr">
        <is>
          <t>65620667</t>
        </is>
      </c>
      <c r="F15" s="5" t="inlineStr">
        <is>
          <t>لولوتي وطنيه</t>
        </is>
      </c>
      <c r="G15" s="7" t="inlineStr">
        <is>
          <t>65620667</t>
        </is>
      </c>
    </row>
    <row r="16" ht="18" customHeight="1">
      <c r="A16" s="2" t="inlineStr">
        <is>
          <t>Abdullah ALamairi &lt;barcelony@hotmail.com&gt;</t>
        </is>
      </c>
      <c r="B16" s="3" t="inlineStr">
        <is>
          <t>barcelony@hotmail.com</t>
        </is>
      </c>
      <c r="C16" s="2" t="inlineStr"/>
      <c r="D16" s="2" t="inlineStr">
        <is>
          <t xml:space="preserve">Hello! How can we help you?  Report Abdullah sitges : 66622294  Sent from my iPhone </t>
        </is>
      </c>
      <c r="E16" s="4" t="inlineStr">
        <is>
          <t>66622294</t>
        </is>
      </c>
      <c r="F16" s="2" t="inlineStr">
        <is>
          <t>Abdullah sitges</t>
        </is>
      </c>
      <c r="G16" s="4" t="inlineStr">
        <is>
          <t>66622294</t>
        </is>
      </c>
    </row>
    <row r="17" ht="18" customHeight="1">
      <c r="A17" s="5" t="inlineStr">
        <is>
          <t>Abdallah Abdallah &lt;q8aa1983@icloud.com&gt;</t>
        </is>
      </c>
      <c r="B17" s="6" t="inlineStr">
        <is>
          <t>q8aa1983@icloud.com</t>
        </is>
      </c>
      <c r="C17" s="5">
        <f>?utf-8?B?2KXZhNi62KfYoSDYp9mE2KfYs9mF?=</f>
        <v/>
      </c>
      <c r="D17" s="5" t="inlineStr">
        <is>
          <t>Hello! How can we help you?  Report عبدالله ولد نوره- : 66222435   ‫أُرسلت من الـ iPhone‬</t>
        </is>
      </c>
      <c r="E17" s="7" t="inlineStr">
        <is>
          <t>66222435</t>
        </is>
      </c>
      <c r="F17" s="5" t="inlineStr">
        <is>
          <t>عبدالله ولد نوره-</t>
        </is>
      </c>
      <c r="G17" s="7" t="inlineStr">
        <is>
          <t>66222435</t>
        </is>
      </c>
    </row>
    <row r="18" ht="18" customHeight="1">
      <c r="A18" s="2" t="inlineStr">
        <is>
          <t>Abdallah Abdallah &lt;q8aa1983@icloud.com&gt;</t>
        </is>
      </c>
      <c r="B18" s="3" t="inlineStr">
        <is>
          <t>q8aa1983@icloud.com</t>
        </is>
      </c>
      <c r="C18" s="2">
        <f>?utf-8?B?2KXZhNi62KfYoSDYp9mE2KfYs9mF?=</f>
        <v/>
      </c>
      <c r="D18" s="2" t="inlineStr">
        <is>
          <t>Hello! How can we help you?  Report طالب ليكزس ابوناصر- : 66222435   ‫أُرسلت من الـ iPhone‬</t>
        </is>
      </c>
      <c r="E18" s="4" t="inlineStr">
        <is>
          <t>66222435</t>
        </is>
      </c>
      <c r="F18" s="2" t="inlineStr">
        <is>
          <t>طالب ليكزس ابوناصر-</t>
        </is>
      </c>
      <c r="G18" s="4" t="inlineStr">
        <is>
          <t>66222435</t>
        </is>
      </c>
    </row>
    <row r="19" ht="18" customHeight="1">
      <c r="A19" s="5" t="inlineStr">
        <is>
          <t>Mohd Alabib &lt;alhabib.2031@icloud.com&gt;</t>
        </is>
      </c>
      <c r="B19" s="6" t="inlineStr">
        <is>
          <t>alhabib.2031@icloud.com</t>
        </is>
      </c>
      <c r="C19" s="5">
        <f>?utf-8?B?2YfYsNmKINiq2LnYqtio2LEg2LPYqNmHINi52YbYr9mG2Kcg2Kg=?=  =?utf-8?B?2KfZhNmD2YjZitiq2Yo=?=</f>
        <v/>
      </c>
      <c r="D19" s="5" t="inlineStr">
        <is>
          <t>Hello! How can we help you?  Report Taraf : 69694199   Sent from my iPhone</t>
        </is>
      </c>
      <c r="E19" s="7" t="inlineStr">
        <is>
          <t>69694199</t>
        </is>
      </c>
      <c r="F19" s="5" t="inlineStr">
        <is>
          <t>Taraf</t>
        </is>
      </c>
      <c r="G19" s="7" t="inlineStr">
        <is>
          <t>69694199</t>
        </is>
      </c>
    </row>
    <row r="20" ht="18" customHeight="1">
      <c r="A20" s="2" t="inlineStr">
        <is>
          <t>"=?utf-8?B?2LfZhNin2YQg2KfZhNi52KrZitio2Yo=?=" &lt;t55988500@gmail.com&gt;</t>
        </is>
      </c>
      <c r="B20" s="3" t="inlineStr">
        <is>
          <t>t55988500@gmail.com</t>
        </is>
      </c>
      <c r="C20" s="2" t="inlineStr"/>
      <c r="D20" s="2" t="inlineStr">
        <is>
          <t>Hello! How can we help you?  Report دلوووعة الماامااا- : 55988500   ‫أُرسلت من الـ iPhone‬</t>
        </is>
      </c>
      <c r="E20" s="4" t="inlineStr">
        <is>
          <t>55988500</t>
        </is>
      </c>
      <c r="F20" s="2" t="inlineStr">
        <is>
          <t>دلوووعة الماامااا-</t>
        </is>
      </c>
      <c r="G20" s="4" t="inlineStr">
        <is>
          <t>55988500</t>
        </is>
      </c>
    </row>
    <row r="21" ht="18" customHeight="1">
      <c r="A21" s="5" t="inlineStr">
        <is>
          <t>Mohammad Aldesayem &lt;maldesayem@gmail.com&gt;</t>
        </is>
      </c>
      <c r="B21" s="6" t="inlineStr">
        <is>
          <t>maldesayem@gmail.com</t>
        </is>
      </c>
      <c r="C21" s="5">
        <f>?utf-8?B?2YXYs9mK2KE=?=</f>
        <v/>
      </c>
      <c r="D21" s="5" t="inlineStr">
        <is>
          <t>Hello! How can we help you?  Report في، حياة : 50815551  اسم مسيء يليت مسحه Sent from my iPhone</t>
        </is>
      </c>
      <c r="E21" s="7" t="inlineStr">
        <is>
          <t>50815551</t>
        </is>
      </c>
      <c r="F21" s="5" t="inlineStr">
        <is>
          <t>في، حياة</t>
        </is>
      </c>
      <c r="G21" s="7" t="inlineStr">
        <is>
          <t>50815551</t>
        </is>
      </c>
    </row>
    <row r="22" ht="18" customHeight="1">
      <c r="A22" s="2" t="inlineStr">
        <is>
          <t>yousef.ghanimi@gmail.com</t>
        </is>
      </c>
      <c r="B22" s="3" t="inlineStr">
        <is>
          <t>yousef.ghanimi@gmail.com</t>
        </is>
      </c>
      <c r="C22" s="2" t="inlineStr"/>
      <c r="D22" s="2" t="inlineStr">
        <is>
          <t>Hello! How can we help you?  Report الضايعه : 66766479   Sent from my iPhone</t>
        </is>
      </c>
      <c r="E22" s="4" t="inlineStr">
        <is>
          <t>66766479</t>
        </is>
      </c>
      <c r="F22" s="2" t="inlineStr">
        <is>
          <t>الضايعه</t>
        </is>
      </c>
      <c r="G22" s="4" t="inlineStr">
        <is>
          <t>66766479</t>
        </is>
      </c>
    </row>
    <row r="23" ht="18" customHeight="1">
      <c r="A23" s="5" t="inlineStr">
        <is>
          <t>q jaber &lt;qjaber@hotmail.com&gt;</t>
        </is>
      </c>
      <c r="B23" s="6" t="inlineStr">
        <is>
          <t>qjaber@hotmail.com</t>
        </is>
      </c>
      <c r="C23" s="5" t="inlineStr"/>
      <c r="D23" s="5" t="inlineStr">
        <is>
          <t xml:space="preserve">Hello! How can we help you?  Report -الحول 999 : 99976888  ‫أُرسلت من الـ iPhone‬ </t>
        </is>
      </c>
      <c r="E23" s="7" t="inlineStr">
        <is>
          <t>99976888</t>
        </is>
      </c>
      <c r="F23" s="5" t="inlineStr">
        <is>
          <t>-الحول 999</t>
        </is>
      </c>
      <c r="G23" s="7" t="inlineStr">
        <is>
          <t>99976888</t>
        </is>
      </c>
    </row>
    <row r="24" ht="18" customHeight="1">
      <c r="A24" s="2" t="inlineStr">
        <is>
          <t>abdullah abdullah &lt;a.n_q8@hotmail.com&gt;</t>
        </is>
      </c>
      <c r="B24" s="3" t="inlineStr">
        <is>
          <t>a.n_q8@hotmail.com</t>
        </is>
      </c>
      <c r="C24" s="2" t="inlineStr"/>
      <c r="D24" s="2" t="inlineStr">
        <is>
          <t xml:space="preserve">Hello! How can we help you?  Report عبدالله-ندا : 66645866  If possible can you remove the name due to privacy  </t>
        </is>
      </c>
      <c r="E24" s="4" t="inlineStr">
        <is>
          <t>66645866</t>
        </is>
      </c>
      <c r="F24" s="2" t="inlineStr">
        <is>
          <t>عبدالله-ندا</t>
        </is>
      </c>
      <c r="G24" s="4" t="inlineStr">
        <is>
          <t>66645866</t>
        </is>
      </c>
    </row>
    <row r="25" ht="18" customHeight="1">
      <c r="A25" s="5" t="inlineStr">
        <is>
          <t>Eman Makssed &lt;eman.makssed@gmail.com&gt;</t>
        </is>
      </c>
      <c r="B25" s="6" t="inlineStr">
        <is>
          <t>eman.makssed@gmail.com</t>
        </is>
      </c>
      <c r="C25" s="5" t="inlineStr"/>
      <c r="D25" s="5" t="inlineStr">
        <is>
          <t>Hello! How can we help you?  Report تبى تمر شقه : 69060689   Sent from my iPhone</t>
        </is>
      </c>
      <c r="E25" s="7" t="inlineStr">
        <is>
          <t>69060689</t>
        </is>
      </c>
      <c r="F25" s="5" t="inlineStr">
        <is>
          <t>تبى تمر شقه</t>
        </is>
      </c>
      <c r="G25" s="7" t="inlineStr">
        <is>
          <t>69060689</t>
        </is>
      </c>
    </row>
    <row r="26" ht="18" customHeight="1">
      <c r="A26" s="2" t="inlineStr">
        <is>
          <t>Mansour Alhussain &lt;mansouralhussain94@icloud.com&gt;</t>
        </is>
      </c>
      <c r="B26" s="3" t="inlineStr">
        <is>
          <t>mansouralhussain94@icloud.com</t>
        </is>
      </c>
      <c r="C26" s="2">
        <f>?utf-8?B?2KfYs9mFINi62YrYsSDYtdit2YrYrSA=?=</f>
        <v/>
      </c>
      <c r="D26" s="2" t="inlineStr">
        <is>
          <t>Hello! How can we help you?  Report مبارك ناصر الخشاب- : 69997950  الاسم الصحيح م منصور الحسين Sincerely, Mansour Alhussain</t>
        </is>
      </c>
      <c r="E26" s="4" t="inlineStr">
        <is>
          <t>69997950</t>
        </is>
      </c>
      <c r="F26" s="2" t="inlineStr">
        <is>
          <t>مبارك ناصر الخشاب-</t>
        </is>
      </c>
      <c r="G26" s="4" t="inlineStr">
        <is>
          <t>69997950</t>
        </is>
      </c>
    </row>
    <row r="27" ht="18" customHeight="1">
      <c r="A27" s="5" t="inlineStr">
        <is>
          <t>Abdulrhman alhashemi &lt;Sealine_caravan@outlook.com&gt;</t>
        </is>
      </c>
      <c r="B27" s="6" t="inlineStr">
        <is>
          <t>Sealine_caravan@outlook.com</t>
        </is>
      </c>
      <c r="C27" s="5" t="inlineStr"/>
      <c r="D27" s="5" t="inlineStr">
        <is>
          <t xml:space="preserve">Hello! How can we help you?  Report ث147 ابو عدنان طالب شقة 300 : 55599676  I hope you remove this name Its make problem for me Sent from my iPhone </t>
        </is>
      </c>
      <c r="E27" s="7" t="inlineStr">
        <is>
          <t>55599676</t>
        </is>
      </c>
      <c r="F27" s="5" t="inlineStr">
        <is>
          <t>ث147 ابو عدنان طالب شقة 300</t>
        </is>
      </c>
      <c r="G27" s="7" t="inlineStr">
        <is>
          <t>55599676</t>
        </is>
      </c>
    </row>
    <row r="28" ht="18" customHeight="1">
      <c r="A28" s="2">
        <f>?utf-8?B?2LnYqNiv2KfZhNmE2Ycg2KfZhNi52YbYstmK?= &lt;aa.b.aq8@gmail.com&gt;</f>
        <v/>
      </c>
      <c r="B28" s="3" t="inlineStr">
        <is>
          <t>aa.b.aq8@gmail.com</t>
        </is>
      </c>
      <c r="C28" s="2">
        <f>?utf-8?Q?=D8=A7=D8=B1=D8=AC=D9=88_=D8=AD=D8=B0=D9=81_=D8=B1?=  =?utf-8?Q?=D9=82=D9=85=D9=8A_=D9=85=D9=86_=D9=85=D9=86=D9=88_?=  =?utf-8?Q?=D8=AF=D8=A7=D9=82_99373227?=</f>
        <v/>
      </c>
      <c r="D28" s="2" t="inlineStr">
        <is>
          <t>Hello! How can we help you?  Report عمي سمير- : 99373227   ‫أُرسلت من الـ iPhone‬</t>
        </is>
      </c>
      <c r="E28" s="4" t="inlineStr">
        <is>
          <t>99373227</t>
        </is>
      </c>
      <c r="F28" s="2" t="inlineStr">
        <is>
          <t>عمي سمير-</t>
        </is>
      </c>
      <c r="G28" s="4" t="inlineStr">
        <is>
          <t>99373227</t>
        </is>
      </c>
    </row>
    <row r="29" ht="18" customHeight="1">
      <c r="A29" s="5">
        <f>?utf-8?B?2LnYqNiv2KfZhNmE2Ycg2KfZhNi52YbYstmK?= &lt;aa.b.aq8@gmail.com&gt;</f>
        <v/>
      </c>
      <c r="B29" s="6" t="inlineStr">
        <is>
          <t>aa.b.aq8@gmail.com</t>
        </is>
      </c>
      <c r="C29" s="5">
        <f>?utf-8?Q?=D8=A7=D8=B1=D8=AC=D9=88_=D8=AD=D8=B0=D9=81_=D8=B1?=  =?utf-8?Q?=D9=82=D9=85=D9=8A_=D9=85=D9=86_=D9=85=D9=86=D9=88_?=  =?utf-8?Q?=D8=AF=D8=A7=D9=82_66057911?=</f>
        <v/>
      </c>
      <c r="D29" s="5" t="inlineStr">
        <is>
          <t>Hello! How can we help you?  Report علي العنزي- : 66057911   ‫أُرسلت من الـ iPhone‬</t>
        </is>
      </c>
      <c r="E29" s="7" t="inlineStr">
        <is>
          <t>66057911</t>
        </is>
      </c>
      <c r="F29" s="5" t="inlineStr">
        <is>
          <t>علي العنزي-</t>
        </is>
      </c>
      <c r="G29" s="7" t="inlineStr">
        <is>
          <t>66057911</t>
        </is>
      </c>
    </row>
    <row r="30" ht="18" customHeight="1">
      <c r="A30" s="2" t="inlineStr">
        <is>
          <t>R q8 &lt;drqx34@gmail.com&gt;</t>
        </is>
      </c>
      <c r="B30" s="3" t="inlineStr">
        <is>
          <t>drqx34@gmail.com</t>
        </is>
      </c>
      <c r="C30" s="2" t="inlineStr">
        <is>
          <t xml:space="preserve">Important remove </t>
        </is>
      </c>
      <c r="D30" s="2" t="inlineStr">
        <is>
          <t>Hello! How can we help you?  Report خدامتي محراث 1 : 55739831   Sent from my iPhone</t>
        </is>
      </c>
      <c r="E30" s="4" t="inlineStr">
        <is>
          <t>55739831</t>
        </is>
      </c>
      <c r="F30" s="2" t="inlineStr">
        <is>
          <t>خدامتي محراث 1</t>
        </is>
      </c>
      <c r="G30" s="4" t="inlineStr">
        <is>
          <t>55739831</t>
        </is>
      </c>
    </row>
    <row r="31" ht="18" customHeight="1">
      <c r="A31" s="5" t="inlineStr">
        <is>
          <t>merengue.q8@icloud.com</t>
        </is>
      </c>
      <c r="B31" s="6" t="inlineStr">
        <is>
          <t>merengue.q8@icloud.com</t>
        </is>
      </c>
      <c r="C31" s="5" t="inlineStr"/>
      <c r="D31" s="5" t="inlineStr">
        <is>
          <t>Hello! How can we help you?  Report بطن وضهر في N9 رقمها 490 مع سد : 90902890   Sent from my iPhone</t>
        </is>
      </c>
      <c r="E31" s="7" t="inlineStr">
        <is>
          <t>90902890</t>
        </is>
      </c>
      <c r="F31" s="5" t="inlineStr">
        <is>
          <t>بطن وضهر في N9 رقمها 490 مع سد</t>
        </is>
      </c>
      <c r="G31" s="7" t="inlineStr">
        <is>
          <t>90902890</t>
        </is>
      </c>
    </row>
    <row r="32" ht="18" customHeight="1">
      <c r="A32" s="2" t="inlineStr">
        <is>
          <t>f_aljadi 99 &lt;fofo99fefe@hotmail.com&gt;</t>
        </is>
      </c>
      <c r="B32" s="3" t="inlineStr">
        <is>
          <t>fofo99fefe@hotmail.com</t>
        </is>
      </c>
      <c r="C32" s="2">
        <f>?utf-8?B?2KfYsdmK2K8g2KfZhiDYp9it2LDZgSDZh9iw2Yc=?=</f>
        <v/>
      </c>
      <c r="D32" s="2" t="inlineStr">
        <is>
          <t xml:space="preserve">Hello! How can we help you?  Report فطومة مرت : 55779721  ‫أُرسلت من الـ iPhone‬ </t>
        </is>
      </c>
      <c r="E32" s="4" t="inlineStr">
        <is>
          <t>55779721</t>
        </is>
      </c>
      <c r="F32" s="2" t="inlineStr">
        <is>
          <t>فطومة مرت</t>
        </is>
      </c>
      <c r="G32" s="4" t="inlineStr">
        <is>
          <t>55779721</t>
        </is>
      </c>
    </row>
    <row r="33" ht="18" customHeight="1">
      <c r="A33" s="5" t="inlineStr">
        <is>
          <t>Darius k &lt;skelos007@gmail.com&gt;</t>
        </is>
      </c>
      <c r="B33" s="6" t="inlineStr">
        <is>
          <t>skelos007@gmail.com</t>
        </is>
      </c>
      <c r="C33" s="5" t="inlineStr"/>
      <c r="D33" s="5" t="inlineStr">
        <is>
          <t>Hello! How can we help you?  Report BestFriend No ~1070 : 41444776   ‫أُرسلت من الـ iPhone‬</t>
        </is>
      </c>
      <c r="E33" s="7" t="inlineStr">
        <is>
          <t>41444776</t>
        </is>
      </c>
      <c r="F33" s="5" t="inlineStr">
        <is>
          <t>BestFriend No ~1070</t>
        </is>
      </c>
      <c r="G33" s="7" t="inlineStr">
        <is>
          <t>41444776</t>
        </is>
      </c>
    </row>
    <row r="34" ht="18" customHeight="1">
      <c r="A34" s="2" t="inlineStr">
        <is>
          <t>_s20l &lt;salman.aldahani@gmail.com&gt;</t>
        </is>
      </c>
      <c r="B34" s="3" t="inlineStr">
        <is>
          <t>salman.aldahani@gmail.com</t>
        </is>
      </c>
      <c r="C34" s="2">
        <f>?utf-8?B?2KfYsdis2Ygg2KfYstin2YTZhyA=?=</f>
        <v/>
      </c>
      <c r="D34" s="2" t="inlineStr">
        <is>
          <t>Hello! How can we help you?  Report سلمان ولد خالتي ريم : 55209242   ‫أُرسلت من الـ iPhone‬</t>
        </is>
      </c>
      <c r="E34" s="4" t="inlineStr">
        <is>
          <t>55209242</t>
        </is>
      </c>
      <c r="F34" s="2" t="inlineStr">
        <is>
          <t>سلمان ولد خالتي ريم</t>
        </is>
      </c>
      <c r="G34" s="4" t="inlineStr">
        <is>
          <t>55209242</t>
        </is>
      </c>
    </row>
    <row r="35" ht="18" customHeight="1">
      <c r="A35" s="5" t="inlineStr">
        <is>
          <t>Habeb Dashti &lt;habebdashti@icloud.com&gt;</t>
        </is>
      </c>
      <c r="B35" s="6" t="inlineStr">
        <is>
          <t>habebdashti@icloud.com</t>
        </is>
      </c>
      <c r="C35" s="5">
        <f>?utf-8?B?2YfYp9mE2YPZhNin2YUg2LrZitixINmF2LPZhdmI2K0g2KfYsdis?=  =?utf-8?B?2Ygg2YXYs9it2Yc=?=</f>
        <v/>
      </c>
      <c r="D35" s="5" t="inlineStr">
        <is>
          <t>Hello! How can we help you?  Report حبي و مستقبل غيري - : 97569944   Sent from my iPhone</t>
        </is>
      </c>
      <c r="E35" s="7" t="inlineStr">
        <is>
          <t>97569944</t>
        </is>
      </c>
      <c r="F35" s="5" t="inlineStr">
        <is>
          <t>حبي و مستقبل غيري -</t>
        </is>
      </c>
      <c r="G35" s="7" t="inlineStr">
        <is>
          <t>97569944</t>
        </is>
      </c>
    </row>
    <row r="36" ht="18" customHeight="1">
      <c r="A36" s="2">
        <f>?utf-8?B?2YrZiNiz2YEg2KfZhNi52KzZhdmK?= &lt;alajmi11_8@hotmail.com&gt;</f>
        <v/>
      </c>
      <c r="B36" s="3" t="inlineStr">
        <is>
          <t>alajmi11_8@hotmail.com</t>
        </is>
      </c>
      <c r="C36" s="2">
        <f>?utf-8?B?2KfYs9mFINi62YrYsSDYtdin2YTYrSDZitix2KzZiSDYp9mE2LrYp9ih2Yc=?=</f>
        <v/>
      </c>
      <c r="D36" s="2" t="inlineStr">
        <is>
          <t xml:space="preserve">Hello! How can we help you?  Report يوسف شلاش بوجغيره : 52525681  ‫أُرسلت من الـ iPhone‬ </t>
        </is>
      </c>
      <c r="E36" s="4" t="inlineStr">
        <is>
          <t>52525681</t>
        </is>
      </c>
      <c r="F36" s="2" t="inlineStr">
        <is>
          <t>يوسف شلاش بوجغيره</t>
        </is>
      </c>
      <c r="G36" s="4" t="inlineStr">
        <is>
          <t>52525681</t>
        </is>
      </c>
    </row>
    <row r="37" ht="18" customHeight="1">
      <c r="A37" s="5" t="inlineStr">
        <is>
          <t>Dj BooSt Q8 &lt;djboostq8@gmail.com&gt;</t>
        </is>
      </c>
      <c r="B37" s="6" t="inlineStr">
        <is>
          <t>djboostq8@gmail.com</t>
        </is>
      </c>
      <c r="C37" s="5">
        <f>?utf-8?B?2KfZhNi62KfYoSDYp9iz2YUg2YLYr9mK2YU=?=</f>
        <v/>
      </c>
      <c r="D37" s="5" t="inlineStr">
        <is>
          <t>Hello! How can we help you?  Report محسن دي جي بوست : 50450063   ‫أُرسلت من الـ iPhone‬</t>
        </is>
      </c>
      <c r="E37" s="7" t="inlineStr">
        <is>
          <t>50450063</t>
        </is>
      </c>
      <c r="F37" s="5" t="inlineStr">
        <is>
          <t>محسن دي جي بوست</t>
        </is>
      </c>
      <c r="G37" s="7" t="inlineStr">
        <is>
          <t>50450063</t>
        </is>
      </c>
    </row>
    <row r="38" ht="18" customHeight="1">
      <c r="A38" s="2" t="inlineStr">
        <is>
          <t>TuooFiYa Alm &lt;tuoofiya@gmail.com&gt;</t>
        </is>
      </c>
      <c r="B38" s="3" t="inlineStr">
        <is>
          <t>tuoofiya@gmail.com</t>
        </is>
      </c>
      <c r="C38" s="2" t="inlineStr"/>
      <c r="D38" s="2" t="inlineStr">
        <is>
          <t>Hello! How can we help you?  Report Director Sec Ibn Sina : 97944923   Sent from my iPhone</t>
        </is>
      </c>
      <c r="E38" s="4" t="inlineStr">
        <is>
          <t>97944923</t>
        </is>
      </c>
      <c r="F38" s="2" t="inlineStr">
        <is>
          <t>Director Sec Ibn Sina</t>
        </is>
      </c>
      <c r="G38" s="4" t="inlineStr">
        <is>
          <t>97944923</t>
        </is>
      </c>
    </row>
    <row r="39" ht="18" customHeight="1">
      <c r="A39" s="5" t="inlineStr">
        <is>
          <t>Yousef Tab &lt;yousefqm@icloud.com&gt;</t>
        </is>
      </c>
      <c r="B39" s="6" t="inlineStr">
        <is>
          <t>yousefqm@icloud.com</t>
        </is>
      </c>
      <c r="C39" s="5">
        <f>?utf-8?B?2YPZhNin2YUg2LPZitih?=</f>
        <v/>
      </c>
      <c r="D39" s="5" t="inlineStr">
        <is>
          <t>Hello! How can we help you?  Report الخول بتاع بليل : 67693989   Sent from my iPhone</t>
        </is>
      </c>
      <c r="E39" s="7" t="inlineStr">
        <is>
          <t>67693989</t>
        </is>
      </c>
      <c r="F39" s="5" t="inlineStr">
        <is>
          <t>الخول بتاع بليل</t>
        </is>
      </c>
      <c r="G39" s="7" t="inlineStr">
        <is>
          <t>67693989</t>
        </is>
      </c>
    </row>
    <row r="40" ht="18" customHeight="1">
      <c r="A40" s="2" t="inlineStr">
        <is>
          <t>Fatma &lt;faalrsh6@gmail.com&gt;</t>
        </is>
      </c>
      <c r="B40" s="3" t="inlineStr">
        <is>
          <t>faalrsh6@gmail.com</t>
        </is>
      </c>
      <c r="C40" s="2">
        <f>?utf-8?B?2KfZhNix2KzYp9ihINit2LDZgSDYp9mE2KfYs9mF?=</f>
        <v/>
      </c>
      <c r="D40" s="2" t="inlineStr">
        <is>
          <t>Hello! How can we help you?  Report فاطمة الصليبية : 99005269   Sent from my iPhone</t>
        </is>
      </c>
      <c r="E40" s="4" t="inlineStr">
        <is>
          <t>99005269</t>
        </is>
      </c>
      <c r="F40" s="2" t="inlineStr">
        <is>
          <t>فاطمة الصليبية</t>
        </is>
      </c>
      <c r="G40" s="4" t="inlineStr">
        <is>
          <t>99005269</t>
        </is>
      </c>
    </row>
    <row r="41" ht="18" customHeight="1">
      <c r="A41" s="5" t="inlineStr">
        <is>
          <t>mabajmi@gmail.com</t>
        </is>
      </c>
      <c r="B41" s="6" t="inlineStr">
        <is>
          <t>mabajmi@gmail.com</t>
        </is>
      </c>
      <c r="C41" s="5" t="inlineStr">
        <is>
          <t xml:space="preserve">Re: </t>
        </is>
      </c>
      <c r="D41" s="5" t="inlineStr">
        <is>
          <t xml:space="preserve">This name is incorrect. This number belongs to me, not to this name. ‫أُرسلت من الـ iPhone‬  &gt; ‫في 29‏/10‏/2025 الساعة 1:16 م، كتب/كتبت mabajmi@gmail.com:‬ &gt;  &gt; ﻿ &gt; Hello! How can we help you? &gt;  &gt; Report مشاعل : 99875711 &gt;  &gt;  &gt; ‫أُرسلت من الـ iPhone‬ </t>
        </is>
      </c>
      <c r="E41" s="7" t="inlineStr">
        <is>
          <t>99875711</t>
        </is>
      </c>
      <c r="F41" s="5" t="inlineStr">
        <is>
          <t>مشاعل</t>
        </is>
      </c>
      <c r="G41" s="7" t="inlineStr">
        <is>
          <t>99875711</t>
        </is>
      </c>
    </row>
    <row r="42" ht="18" customHeight="1">
      <c r="A42" s="2" t="inlineStr">
        <is>
          <t>"Galak ...." &lt;galak-90@hotmail.com&gt;</t>
        </is>
      </c>
      <c r="B42" s="3" t="inlineStr">
        <is>
          <t>galak-90@hotmail.com</t>
        </is>
      </c>
      <c r="C42" s="2">
        <f>?utf-8?B?2KfZhNix2KzYp9ihINil2LLYp9mE2Ycg2KfZhNin2LPZhSDZhNiu2LXZiNi1?=  =?utf-8?B?2YrZhw==?=</f>
        <v/>
      </c>
      <c r="D42" s="2" t="inlineStr">
        <is>
          <t xml:space="preserve">Hello! How can we help you?  Report التبويض : 55002538  ‫أُرسلت من الـ iPhone‬ </t>
        </is>
      </c>
      <c r="E42" s="4" t="inlineStr">
        <is>
          <t>55002538</t>
        </is>
      </c>
      <c r="F42" s="2" t="inlineStr">
        <is>
          <t>التبويض</t>
        </is>
      </c>
      <c r="G42" s="4" t="inlineStr">
        <is>
          <t>55002538</t>
        </is>
      </c>
    </row>
    <row r="43" ht="18" customHeight="1">
      <c r="A43" s="5" t="inlineStr">
        <is>
          <t>Aliah Almutaire &lt;aliahalmutairee@icloud.com&gt;</t>
        </is>
      </c>
      <c r="B43" s="6" t="inlineStr">
        <is>
          <t>aliahalmutairee@icloud.com</t>
        </is>
      </c>
      <c r="C43" s="5">
        <f>?utf-8?B?2KfZhNi62KfYoQ==?=</f>
        <v/>
      </c>
      <c r="D43" s="5" t="inlineStr">
        <is>
          <t>Hello! How can we help you?  Report اوك العنوان صباح الناصر ق2س7 م25 : 98884018   ‫أُرسلت من الـ iPhone‬</t>
        </is>
      </c>
      <c r="E43" s="7" t="inlineStr">
        <is>
          <t>98884018</t>
        </is>
      </c>
      <c r="F43" s="5" t="inlineStr">
        <is>
          <t>اوك العنوان صباح الناصر ق2س7 م25</t>
        </is>
      </c>
      <c r="G43" s="7" t="inlineStr">
        <is>
          <t>98884018</t>
        </is>
      </c>
    </row>
    <row r="44" ht="18" customHeight="1">
      <c r="A44" s="2" t="inlineStr">
        <is>
          <t>muhammed alsaleem &lt;Hamooodking@hotmail.com&gt;</t>
        </is>
      </c>
      <c r="B44" s="3" t="inlineStr">
        <is>
          <t>Hamooodking@hotmail.com</t>
        </is>
      </c>
      <c r="C44" s="2" t="inlineStr">
        <is>
          <t xml:space="preserve">This name is not acceptable for me, i want to delete it </t>
        </is>
      </c>
      <c r="D44" s="2" t="inlineStr">
        <is>
          <t xml:space="preserve">Hello! How can we help you?  Report جلب عالبحر وانيت احمر 95- : 97745386  Sent from my iPhone </t>
        </is>
      </c>
      <c r="E44" s="4" t="inlineStr">
        <is>
          <t>97745386</t>
        </is>
      </c>
      <c r="F44" s="2" t="inlineStr">
        <is>
          <t>جلب عالبحر وانيت احمر 95-</t>
        </is>
      </c>
      <c r="G44" s="4" t="inlineStr">
        <is>
          <t>97745386</t>
        </is>
      </c>
    </row>
    <row r="45" ht="18" customHeight="1">
      <c r="A45" s="5" t="inlineStr">
        <is>
          <t>muhammed alsaleem &lt;Hamooodking@hotmail.com&gt;</t>
        </is>
      </c>
      <c r="B45" s="6" t="inlineStr">
        <is>
          <t>Hamooodking@hotmail.com</t>
        </is>
      </c>
      <c r="C45" s="5" t="inlineStr">
        <is>
          <t xml:space="preserve">This name is not acceptable for me, i want to delete it </t>
        </is>
      </c>
      <c r="D45" s="5" t="inlineStr">
        <is>
          <t xml:space="preserve">Hello! How can we help you?  Report جلب عالبحر وانيت احمر 95- : 97745386  Sent from my iPhone </t>
        </is>
      </c>
      <c r="E45" s="7" t="inlineStr">
        <is>
          <t>97745386</t>
        </is>
      </c>
      <c r="F45" s="5" t="inlineStr">
        <is>
          <t>جلب عالبحر وانيت احمر 95-</t>
        </is>
      </c>
      <c r="G45" s="7" t="inlineStr">
        <is>
          <t>97745386</t>
        </is>
      </c>
    </row>
    <row r="46" ht="18" customHeight="1">
      <c r="A46" s="2" t="inlineStr">
        <is>
          <t>muhammed alsaleem &lt;Hamooodking@hotmail.com&gt;</t>
        </is>
      </c>
      <c r="B46" s="3" t="inlineStr">
        <is>
          <t>Hamooodking@hotmail.com</t>
        </is>
      </c>
      <c r="C46" s="2" t="inlineStr">
        <is>
          <t xml:space="preserve">This name is not acceptable for me i want to remove it </t>
        </is>
      </c>
      <c r="D46" s="2" t="inlineStr">
        <is>
          <t xml:space="preserve">Hello! How can we help you?  Report Hamood -Dalias Bf : 97745386  Sent from my iPhone </t>
        </is>
      </c>
      <c r="E46" s="4" t="inlineStr">
        <is>
          <t>97745386</t>
        </is>
      </c>
      <c r="F46" s="2" t="inlineStr">
        <is>
          <t>Hamood -Dalias Bf</t>
        </is>
      </c>
      <c r="G46" s="4" t="inlineStr">
        <is>
          <t>97745386</t>
        </is>
      </c>
    </row>
    <row r="47" ht="18" customHeight="1">
      <c r="A47" s="5">
        <f>?utf-8?B?2YXYrdmF2K8g2KfZhNmF2LfYsdmB2Yo=?= &lt;almtrfym19@gmail.com&gt;</f>
        <v/>
      </c>
      <c r="B47" s="6" t="inlineStr">
        <is>
          <t>almtrfym19@gmail.com</t>
        </is>
      </c>
      <c r="C47" s="5">
        <f>?utf-8?B?2LTYt9ioINin2YTYp9iz2YUg?=</f>
        <v/>
      </c>
      <c r="D47" s="5" t="inlineStr">
        <is>
          <t>Hello! How can we help you?  Report عايد سويد الهرف- : 99044379   ‫أُرسلت من الـ iPhone‬</t>
        </is>
      </c>
      <c r="E47" s="7" t="inlineStr">
        <is>
          <t>99044379</t>
        </is>
      </c>
      <c r="F47" s="5" t="inlineStr">
        <is>
          <t>عايد سويد الهرف-</t>
        </is>
      </c>
      <c r="G47" s="7" t="inlineStr">
        <is>
          <t>99044379</t>
        </is>
      </c>
    </row>
    <row r="48" ht="18" customHeight="1">
      <c r="A48" s="2" t="inlineStr">
        <is>
          <t>Salim Alnemr &lt;salimalnemr@icloud.com&gt;</t>
        </is>
      </c>
      <c r="B48" s="3" t="inlineStr">
        <is>
          <t>salimalnemr@icloud.com</t>
        </is>
      </c>
      <c r="C48" s="2">
        <f>?utf-8?B?2KfZhNiz2YTYp9mFINi52YTZitmD2YUg2KfZhNin2LPZhSDYr9mH?=  =?utf-8?B?INmK2K7YtdmG2Yog2YjZhNinINin2LnZhNmFINmF2YYg2KfZhNiw?=  =?utf-8?B?2Yog2YrYs9mF2YrZhtmKINio2YfYsNinINin2YTYp9iz2YUg2Kc=?=  =?utf-8?B?2YTYsdis2KfYoSDZhdiz2K0g2KfZhNin2LPZhSDZhdmGINin2YQ=?=  =?utf-8?B?2KrYt9io2YrZgiDYudmG2K/Zg9mF?=</f>
        <v/>
      </c>
      <c r="D48" s="2" t="inlineStr">
        <is>
          <t>Hello! How can we help you?  Report سليم الوسخ : 51300071    ‫أُرسلت من الـ iPhone‬</t>
        </is>
      </c>
      <c r="E48" s="4" t="inlineStr">
        <is>
          <t>51300071</t>
        </is>
      </c>
      <c r="F48" s="2" t="inlineStr">
        <is>
          <t>سليم الوسخ</t>
        </is>
      </c>
      <c r="G48" s="4" t="inlineStr">
        <is>
          <t>51300071</t>
        </is>
      </c>
    </row>
    <row r="49" ht="18" customHeight="1">
      <c r="A49" s="5" t="inlineStr">
        <is>
          <t>Salim Alnemr &lt;salimalnemr@icloud.com&gt;</t>
        </is>
      </c>
      <c r="B49" s="6" t="inlineStr">
        <is>
          <t>salimalnemr@icloud.com</t>
        </is>
      </c>
      <c r="C49" s="5">
        <f>?utf-8?B?2KrZhSDYqtiz2YXZitiq2Yog2KjZh9iw2Kcg2KfZhNin2LPZhQ==?=</f>
        <v/>
      </c>
      <c r="D49" s="5" t="inlineStr">
        <is>
          <t>Hello! How can we help you?  Report سليم الوسخ : 51300071    ‫أُرسلت من الـ iPhone‬</t>
        </is>
      </c>
      <c r="E49" s="7" t="inlineStr">
        <is>
          <t>51300071</t>
        </is>
      </c>
      <c r="F49" s="5" t="inlineStr">
        <is>
          <t>سليم الوسخ</t>
        </is>
      </c>
      <c r="G49" s="7" t="inlineStr">
        <is>
          <t>51300071</t>
        </is>
      </c>
    </row>
    <row r="50" ht="18" customHeight="1">
      <c r="A50" s="2">
        <f>?utf-8?B?4oCr2KfYrdmF2K8g2KzYudmB2LHigKzigI4=?= &lt;bo6ayob@gmail.com&gt;</f>
        <v/>
      </c>
      <c r="B50" s="3" t="inlineStr">
        <is>
          <t>bo6ayob@gmail.com</t>
        </is>
      </c>
      <c r="C50" s="2">
        <f>?utf-8?B?2KrYqNmE2YrYuiDYudmGINin2LPYp9ih2Ycg2YjZhdiz2K0g2Kc=?=  =?utf-8?B?2YTYp9iz2YU=?=</f>
        <v/>
      </c>
      <c r="D50" s="2" t="inlineStr">
        <is>
          <t>Hello! How can we help you?  Report صاحب الفراري الاحمر الفندق شيشة : 98822231   Sent from my iPhone</t>
        </is>
      </c>
      <c r="E50" s="4" t="inlineStr">
        <is>
          <t>98822231</t>
        </is>
      </c>
      <c r="F50" s="2" t="inlineStr">
        <is>
          <t>صاحب الفراري الاحمر الفندق شيشة</t>
        </is>
      </c>
      <c r="G50" s="4" t="inlineStr">
        <is>
          <t>98822231</t>
        </is>
      </c>
    </row>
    <row r="51" ht="18" customHeight="1">
      <c r="A51" s="5" t="inlineStr">
        <is>
          <t>Amina Alansari &lt;a.a.alansari9@gmail.com&gt;</t>
        </is>
      </c>
      <c r="B51" s="6" t="inlineStr">
        <is>
          <t>a.a.alansari9@gmail.com</t>
        </is>
      </c>
      <c r="C51" s="5" t="inlineStr">
        <is>
          <t>Spam</t>
        </is>
      </c>
      <c r="D51" s="5" t="inlineStr">
        <is>
          <t>Hello! How can we help you?  Report 291090500051 : 55292822  As its my civil ID number ! Sent from my iPhone</t>
        </is>
      </c>
      <c r="E51" s="7" t="inlineStr">
        <is>
          <t>55292822</t>
        </is>
      </c>
      <c r="F51" s="5" t="inlineStr">
        <is>
          <t>291090500051</t>
        </is>
      </c>
      <c r="G51" s="7" t="inlineStr">
        <is>
          <t>55292822</t>
        </is>
      </c>
    </row>
    <row r="52" ht="18" customHeight="1">
      <c r="A52" s="2">
        <f>?utf-8?B?2YHZiti12YQg2KfZhNmE2YfZitmF2YrYrw==?= &lt;ipho972@icloud.com&gt;</f>
        <v/>
      </c>
      <c r="B52" s="3" t="inlineStr">
        <is>
          <t>ipho972@icloud.com</t>
        </is>
      </c>
      <c r="C52" s="2">
        <f>?utf-8?B?2KXYrtmB2KfYoSDZh9iw2Kcg2KfZhNin2LPZhSDZgdmC2Lc=?=</f>
        <v/>
      </c>
      <c r="D52" s="2" t="inlineStr">
        <is>
          <t>Hello! How can we help you?  Report ابو فيصل الرفيعي 2 : 55740352   ‫أُرسلت من الـ iPhone‬</t>
        </is>
      </c>
      <c r="E52" s="4" t="inlineStr">
        <is>
          <t>55740352</t>
        </is>
      </c>
      <c r="F52" s="2" t="inlineStr">
        <is>
          <t>ابو فيصل الرفيعي 2</t>
        </is>
      </c>
      <c r="G52" s="4" t="inlineStr">
        <is>
          <t>55740352</t>
        </is>
      </c>
    </row>
    <row r="53" ht="18" customHeight="1">
      <c r="A53" s="5" t="inlineStr">
        <is>
          <t>Fa 1213 &lt;farxil550@gmail.com&gt;</t>
        </is>
      </c>
      <c r="B53" s="6" t="inlineStr">
        <is>
          <t>farxil550@gmail.com</t>
        </is>
      </c>
      <c r="C53" s="5" t="inlineStr">
        <is>
          <t>Block this name</t>
        </is>
      </c>
      <c r="D53" s="5" t="inlineStr">
        <is>
          <t>Hello! How can we help you?  Report الصليبية ق2 ش6 م10 : 51300408   ‫أُرسلت من الـ iPhone‬</t>
        </is>
      </c>
      <c r="E53" s="7" t="inlineStr">
        <is>
          <t>51300408</t>
        </is>
      </c>
      <c r="F53" s="5" t="inlineStr">
        <is>
          <t>الصليبية ق2 ش6 م10</t>
        </is>
      </c>
      <c r="G53" s="7" t="inlineStr">
        <is>
          <t>51300408</t>
        </is>
      </c>
    </row>
    <row r="54" ht="18" customHeight="1">
      <c r="A54" s="2">
        <f>?utf-8?B?2KfZhNi52LPYp9mBINin2YTYudiz2KfZgQ==?= &lt;safari91td@icloud.com&gt;</f>
        <v/>
      </c>
      <c r="B54" s="3" t="inlineStr">
        <is>
          <t>safari91td@icloud.com</t>
        </is>
      </c>
      <c r="C54" s="2">
        <f>?utf-8?B?2YrYsdis2Ykg2KXYrtmB2KfYoSDYp9mE2KfYs9mF?=</f>
        <v/>
      </c>
      <c r="D54" s="2" t="inlineStr">
        <is>
          <t>Hello! How can we help you?  Report حشرات- : 66327779   3qar.kw1@gmail.con</t>
        </is>
      </c>
      <c r="E54" s="4" t="inlineStr">
        <is>
          <t>66327779</t>
        </is>
      </c>
      <c r="F54" s="2" t="inlineStr">
        <is>
          <t>حشرات-</t>
        </is>
      </c>
      <c r="G54" s="4" t="inlineStr">
        <is>
          <t>66327779</t>
        </is>
      </c>
    </row>
    <row r="55" ht="18" customHeight="1">
      <c r="A55" s="5" t="inlineStr">
        <is>
          <t>Mbarak Alzabi &lt;mbarak.107@icloud.com&gt;</t>
        </is>
      </c>
      <c r="B55" s="6" t="inlineStr">
        <is>
          <t>mbarak.107@icloud.com</t>
        </is>
      </c>
      <c r="C55" s="5" t="inlineStr"/>
      <c r="D55" s="5" t="inlineStr">
        <is>
          <t>Hello! How can we help you?  Report وانيت زارب : 97759788   ‫أُرسلت من الـ iPhone‬</t>
        </is>
      </c>
      <c r="E55" s="7" t="inlineStr">
        <is>
          <t>97759788</t>
        </is>
      </c>
      <c r="F55" s="5" t="inlineStr">
        <is>
          <t>وانيت زارب</t>
        </is>
      </c>
      <c r="G55" s="7" t="inlineStr">
        <is>
          <t>97759788</t>
        </is>
      </c>
    </row>
    <row r="56" ht="18" customHeight="1">
      <c r="A56" s="2" t="inlineStr">
        <is>
          <t>Mbarak Alzabi &lt;mbarak.107@icloud.com&gt;</t>
        </is>
      </c>
      <c r="B56" s="3" t="inlineStr">
        <is>
          <t>mbarak.107@icloud.com</t>
        </is>
      </c>
      <c r="C56" s="2" t="inlineStr"/>
      <c r="D56" s="2" t="inlineStr">
        <is>
          <t>Hello! How can we help you?  Report الدبه مبارك : 97759788   ‫أُرسلت من الـ iPhone‬</t>
        </is>
      </c>
      <c r="E56" s="4" t="inlineStr">
        <is>
          <t>97759788</t>
        </is>
      </c>
      <c r="F56" s="2" t="inlineStr">
        <is>
          <t>الدبه مبارك</t>
        </is>
      </c>
      <c r="G56" s="4" t="inlineStr">
        <is>
          <t>97759788</t>
        </is>
      </c>
    </row>
    <row r="57" ht="18" customHeight="1">
      <c r="A57" s="5" t="inlineStr">
        <is>
          <t>Ali Aljaber &lt;al9ane3@icloud.com&gt;</t>
        </is>
      </c>
      <c r="B57" s="6" t="inlineStr">
        <is>
          <t>al9ane3@icloud.com</t>
        </is>
      </c>
      <c r="C57" s="5">
        <f>?utf-8?B?2KfYstmE2Ycg2KfZhNin2LPZhQ==?=</f>
        <v/>
      </c>
      <c r="D57" s="5" t="inlineStr">
        <is>
          <t>Hello! How can we help you?  Report رجل ساره- : 67714444   Sent from my iPhone</t>
        </is>
      </c>
      <c r="E57" s="7" t="inlineStr">
        <is>
          <t>67714444</t>
        </is>
      </c>
      <c r="F57" s="5" t="inlineStr">
        <is>
          <t>رجل ساره-</t>
        </is>
      </c>
      <c r="G57" s="7" t="inlineStr">
        <is>
          <t>67714444</t>
        </is>
      </c>
    </row>
    <row r="58" ht="18" customHeight="1">
      <c r="A58" s="2" t="inlineStr">
        <is>
          <t>sixtytow 62 &lt;manarhabe@gmail.com&gt;</t>
        </is>
      </c>
      <c r="B58" s="3" t="inlineStr">
        <is>
          <t>manarhabe@gmail.com</t>
        </is>
      </c>
      <c r="C58" s="2">
        <f>?utf-8?B?2KfYs9mFINmF2LPZitih?=</f>
        <v/>
      </c>
      <c r="D58" s="2" t="inlineStr">
        <is>
          <t>Hello! How can we help you?  Report Sweetheart : 65898785   Sent from my iPhone</t>
        </is>
      </c>
      <c r="E58" s="4" t="inlineStr">
        <is>
          <t>65898785</t>
        </is>
      </c>
      <c r="F58" s="2" t="inlineStr">
        <is>
          <t>Sweetheart</t>
        </is>
      </c>
      <c r="G58" s="4" t="inlineStr">
        <is>
          <t>65898785</t>
        </is>
      </c>
    </row>
    <row r="59" ht="18" customHeight="1">
      <c r="A59" s="5" t="inlineStr">
        <is>
          <t>sixtytow 62 &lt;manarhabe@gmail.com&gt;</t>
        </is>
      </c>
      <c r="B59" s="6" t="inlineStr">
        <is>
          <t>manarhabe@gmail.com</t>
        </is>
      </c>
      <c r="C59" s="5">
        <f>?utf-8?B?2KfYs9mFINmF2LPZitih?=</f>
        <v/>
      </c>
      <c r="D59" s="5" t="inlineStr">
        <is>
          <t>Hello! How can we help you?  Report kız Güzelleri : 65898785   Sent from my iPhone</t>
        </is>
      </c>
      <c r="E59" s="7" t="inlineStr">
        <is>
          <t>65898785</t>
        </is>
      </c>
      <c r="F59" s="5" t="inlineStr">
        <is>
          <t>kız Güzelleri</t>
        </is>
      </c>
      <c r="G59" s="7" t="inlineStr">
        <is>
          <t>65898785</t>
        </is>
      </c>
    </row>
    <row r="60" ht="18" customHeight="1">
      <c r="A60" s="2" t="inlineStr">
        <is>
          <t>Hossam Alaa &lt;hossamalaa2014@icloud.com&gt;</t>
        </is>
      </c>
      <c r="B60" s="3" t="inlineStr">
        <is>
          <t>hossamalaa2014@icloud.com</t>
        </is>
      </c>
      <c r="C60" s="2" t="inlineStr"/>
      <c r="D60" s="2" t="inlineStr">
        <is>
          <t>Hello! How can we help you?  Report حسام S4 Look : 60963963    Sent from my iPhone</t>
        </is>
      </c>
      <c r="E60" s="4" t="inlineStr">
        <is>
          <t>60963963</t>
        </is>
      </c>
      <c r="F60" s="2" t="inlineStr">
        <is>
          <t>حسام S4 Look</t>
        </is>
      </c>
      <c r="G60" s="4" t="inlineStr">
        <is>
          <t>60963963</t>
        </is>
      </c>
    </row>
    <row r="61" ht="18" customHeight="1">
      <c r="A61" s="5" t="inlineStr">
        <is>
          <t>Hossam Alaa &lt;hossamalaa2014@icloud.com&gt;</t>
        </is>
      </c>
      <c r="B61" s="6" t="inlineStr">
        <is>
          <t>hossamalaa2014@icloud.com</t>
        </is>
      </c>
      <c r="C61" s="5" t="inlineStr"/>
      <c r="D61" s="5" t="inlineStr">
        <is>
          <t>Hello! How can we help you?  Report ناسوور : 60963963    Sent from my iPhone</t>
        </is>
      </c>
      <c r="E61" s="7" t="inlineStr">
        <is>
          <t>60963963</t>
        </is>
      </c>
      <c r="F61" s="5" t="inlineStr">
        <is>
          <t>ناسوور</t>
        </is>
      </c>
      <c r="G61" s="7" t="inlineStr">
        <is>
          <t>60963963</t>
        </is>
      </c>
    </row>
    <row r="62" ht="18" customHeight="1">
      <c r="A62" s="2" t="inlineStr">
        <is>
          <t>abdulaziz1098@icloud.com</t>
        </is>
      </c>
      <c r="B62" s="3" t="inlineStr">
        <is>
          <t>abdulaziz1098@icloud.com</t>
        </is>
      </c>
      <c r="C62" s="2">
        <f>?utf-8?B?2YXYs9itINin2YTYp9iz2YUg?=</f>
        <v/>
      </c>
      <c r="D62" s="2" t="inlineStr">
        <is>
          <t>Hello! How can we help you?  Report أبوفيصل-صاحب معتج : 90099345   Sent from my iPhone</t>
        </is>
      </c>
      <c r="E62" s="4" t="inlineStr">
        <is>
          <t>90099345</t>
        </is>
      </c>
      <c r="F62" s="2" t="inlineStr">
        <is>
          <t>أبوفيصل-صاحب معتج</t>
        </is>
      </c>
      <c r="G62" s="4" t="inlineStr">
        <is>
          <t>90099345</t>
        </is>
      </c>
    </row>
    <row r="63" ht="18" customHeight="1">
      <c r="A63" s="5" t="inlineStr">
        <is>
          <t>Adel AlHajri &lt;a.alhajri@oula1.com&gt;</t>
        </is>
      </c>
      <c r="B63" s="6" t="inlineStr">
        <is>
          <t>a.alhajri@oula1.com</t>
        </is>
      </c>
      <c r="C63" s="5">
        <f>?utf-8?B?2YXYs9itIA==?=</f>
        <v/>
      </c>
      <c r="D63" s="5" t="inlineStr">
        <is>
          <t xml:space="preserve">Hello! How can we help you?  Report عادل العنزي- : 50877717  ‫أُرسلت من الـ iPhone‬ </t>
        </is>
      </c>
      <c r="E63" s="7" t="inlineStr">
        <is>
          <t>50877717</t>
        </is>
      </c>
      <c r="F63" s="5" t="inlineStr">
        <is>
          <t>عادل العنزي-</t>
        </is>
      </c>
      <c r="G63" s="7" t="inlineStr">
        <is>
          <t>50877717</t>
        </is>
      </c>
    </row>
    <row r="64" ht="18" customHeight="1">
      <c r="A64" s="2" t="inlineStr">
        <is>
          <t>Nina Ali &lt;ninajh84@gmail.com&gt;</t>
        </is>
      </c>
      <c r="B64" s="3" t="inlineStr">
        <is>
          <t>ninajh84@gmail.com</t>
        </is>
      </c>
      <c r="C64" s="2" t="inlineStr">
        <is>
          <t>Wrong name</t>
        </is>
      </c>
      <c r="D64" s="2" t="inlineStr">
        <is>
          <t xml:space="preserve">Hello! How can we help you?  This is my number registered in a wrong name please delete this name  Report محمد عبدالغفور العوضي- : 69950501   Sent from my iPhone </t>
        </is>
      </c>
      <c r="E64" s="4" t="inlineStr">
        <is>
          <t>69950501</t>
        </is>
      </c>
      <c r="F64" s="2" t="inlineStr">
        <is>
          <t>محمد عبدالغفور العوضي-</t>
        </is>
      </c>
      <c r="G64" s="4" t="inlineStr">
        <is>
          <t>69950501</t>
        </is>
      </c>
    </row>
    <row r="65" ht="18" customHeight="1">
      <c r="A65" s="5">
        <f>?utf-8?B?2YHZh9mK2K8g2KfZhNit2KzYsdmB?= &lt;fheedalhajraf1995@icloud.com&gt;</f>
        <v/>
      </c>
      <c r="B65" s="6" t="inlineStr">
        <is>
          <t>fheedalhajraf1995@icloud.com</t>
        </is>
      </c>
      <c r="C65" s="5" t="inlineStr">
        <is>
          <t xml:space="preserve">Re: </t>
        </is>
      </c>
      <c r="D65" s="5" t="inlineStr">
        <is>
          <t xml:space="preserve"> ‫أُرسلت من الـ iPhone‬  &gt; ‫في 25‏/10‏/2025 الساعة 9:09 ص، كتب/كتبت ‏فهيد الحجرف ‏&lt;fheedalhajraf1995@icloud.com&gt;:‬ &gt;  &gt; ﻿ &gt; Hello! How can we help you? &gt;  &gt; Report سارة منقبه العجمي : 50908988 &gt;  &gt;  &gt; ‫أُرسلت من الـ iPhone‬ </t>
        </is>
      </c>
      <c r="E65" s="7" t="inlineStr">
        <is>
          <t>50908988</t>
        </is>
      </c>
      <c r="F65" s="5" t="inlineStr">
        <is>
          <t>سارة منقبه العجمي</t>
        </is>
      </c>
      <c r="G65" s="7" t="inlineStr">
        <is>
          <t>50908988</t>
        </is>
      </c>
    </row>
    <row r="66" ht="18" customHeight="1">
      <c r="A66" s="2" t="inlineStr">
        <is>
          <t>Mubarak M H S A ALDammak &lt;aldammak@hotmail.com&gt;</t>
        </is>
      </c>
      <c r="B66" s="3" t="inlineStr">
        <is>
          <t>aldammak@hotmail.com</t>
        </is>
      </c>
      <c r="C66" s="2" t="inlineStr"/>
      <c r="D66" s="2" t="inlineStr">
        <is>
          <t xml:space="preserve">Hello! How can we help you?  Report ahmad 29042- : 97951999  Mubarak </t>
        </is>
      </c>
      <c r="E66" s="4" t="inlineStr">
        <is>
          <t>97951999</t>
        </is>
      </c>
      <c r="F66" s="2" t="inlineStr">
        <is>
          <t>ahmad 29042-</t>
        </is>
      </c>
      <c r="G66" s="4" t="inlineStr">
        <is>
          <t>97951999</t>
        </is>
      </c>
    </row>
    <row r="67" ht="18" customHeight="1">
      <c r="A67" s="5" t="inlineStr">
        <is>
          <t>Mubarak M H S A ALDammak &lt;aldammak@hotmail.com&gt;</t>
        </is>
      </c>
      <c r="B67" s="6" t="inlineStr">
        <is>
          <t>aldammak@hotmail.com</t>
        </is>
      </c>
      <c r="C67" s="5" t="inlineStr"/>
      <c r="D67" s="5" t="inlineStr">
        <is>
          <t xml:space="preserve">Hello! How can we help you?  Report يبي شاليه بالصبية- : 97951999  Mubarak </t>
        </is>
      </c>
      <c r="E67" s="7" t="inlineStr">
        <is>
          <t>97951999</t>
        </is>
      </c>
      <c r="F67" s="5" t="inlineStr">
        <is>
          <t>يبي شاليه بالصبية-</t>
        </is>
      </c>
      <c r="G67" s="7" t="inlineStr">
        <is>
          <t>97951999</t>
        </is>
      </c>
    </row>
    <row r="68" ht="18" customHeight="1">
      <c r="A68" s="2" t="inlineStr">
        <is>
          <t>Mubarak M H S A ALDammak &lt;aldammak@hotmail.com&gt;</t>
        </is>
      </c>
      <c r="B68" s="3" t="inlineStr">
        <is>
          <t>aldammak@hotmail.com</t>
        </is>
      </c>
      <c r="C68" s="2" t="inlineStr"/>
      <c r="D68" s="2" t="inlineStr">
        <is>
          <t xml:space="preserve">Hello! How can we help you?  Report ابواحمد تاسيس 300 مكتب 250 رسوم 180 تجاره عامه- : 97951999  Mubarak </t>
        </is>
      </c>
      <c r="E68" s="4" t="inlineStr">
        <is>
          <t>97951999</t>
        </is>
      </c>
      <c r="F68" s="2" t="inlineStr">
        <is>
          <t>ابواحمد تاسيس 300 مكتب 250 رسوم 180 تجاره عامه-</t>
        </is>
      </c>
      <c r="G68" s="4" t="inlineStr">
        <is>
          <t>97951999</t>
        </is>
      </c>
    </row>
    <row r="69" ht="18" customHeight="1">
      <c r="A69" s="5" t="inlineStr">
        <is>
          <t>Ghaida Waleed &lt;ghaidawaleed493@gmail.com&gt;</t>
        </is>
      </c>
      <c r="B69" s="6" t="inlineStr">
        <is>
          <t>ghaidawaleed493@gmail.com</t>
        </is>
      </c>
      <c r="C69" s="5">
        <f>?utf-8?B?2KfZhNin2LPZhSDZhdmIINit2YTZiCDYtNmK2YTZiNmH?=</f>
        <v/>
      </c>
      <c r="D69" s="5" t="inlineStr">
        <is>
          <t xml:space="preserve"> Hello! How can we help you? Delete this name  Report كويت منو غيداء سووس : 50210996   Sent from my iPhone</t>
        </is>
      </c>
      <c r="E69" s="7" t="inlineStr">
        <is>
          <t>50210996</t>
        </is>
      </c>
      <c r="F69" s="5" t="inlineStr">
        <is>
          <t>كويت منو غيداء سووس</t>
        </is>
      </c>
      <c r="G69" s="7" t="inlineStr">
        <is>
          <t>50210996</t>
        </is>
      </c>
    </row>
    <row r="70" ht="18" customHeight="1">
      <c r="A70" s="2" t="inlineStr">
        <is>
          <t>ABdulwahab Alhabashi &lt;alhabashiabdulwahab@gmail.com&gt;</t>
        </is>
      </c>
      <c r="B70" s="3" t="inlineStr">
        <is>
          <t>alhabashiabdulwahab@gmail.com</t>
        </is>
      </c>
      <c r="C70" s="2">
        <f>?utf-8?B?2KfZhNix2KzYp9ihINmF2LPYrSDZh9iw2Kcg2KfZhNin2LPZhSA=?=</f>
        <v/>
      </c>
      <c r="D70" s="2" t="inlineStr">
        <is>
          <t>Hello! How can we help you?  Report سعادة القلب وياه : 51544492   ‫أُرسلت من الـ iPhone‬</t>
        </is>
      </c>
      <c r="E70" s="4" t="inlineStr">
        <is>
          <t>51544492</t>
        </is>
      </c>
      <c r="F70" s="2" t="inlineStr">
        <is>
          <t>سعادة القلب وياه</t>
        </is>
      </c>
      <c r="G70" s="4" t="inlineStr">
        <is>
          <t>51544492</t>
        </is>
      </c>
    </row>
    <row r="71" ht="18" customHeight="1">
      <c r="A71" s="5" t="inlineStr">
        <is>
          <t>Hamny Ali &lt;halazmi2005@gmail.com&gt;</t>
        </is>
      </c>
      <c r="B71" s="6" t="inlineStr">
        <is>
          <t>halazmi2005@gmail.com</t>
        </is>
      </c>
      <c r="C71" s="5">
        <f>?utf-8?B?2YXYp9mH2Ygg2KfZhNin2LPZhSDZh9iw2KchIQ==?=</f>
        <v/>
      </c>
      <c r="D71" s="5" t="inlineStr">
        <is>
          <t>Hello! How can we help you?  Report العميل عبدالرحمن علي العازمي اعانه : 94915794   ‫أُرسلت من الـ عبدالرحمن</t>
        </is>
      </c>
      <c r="E71" s="7" t="inlineStr">
        <is>
          <t>94915794</t>
        </is>
      </c>
      <c r="F71" s="5" t="inlineStr">
        <is>
          <t>العميل عبدالرحمن علي العازمي اعانه</t>
        </is>
      </c>
      <c r="G71" s="7" t="inlineStr">
        <is>
          <t>94915794</t>
        </is>
      </c>
    </row>
    <row r="72" ht="18" customHeight="1">
      <c r="A72" s="2" t="inlineStr">
        <is>
          <t>Khloud Alajme &lt;khloudalshealan@gmail.com&gt;</t>
        </is>
      </c>
      <c r="B72" s="3" t="inlineStr">
        <is>
          <t>khloudalshealan@gmail.com</t>
        </is>
      </c>
      <c r="C72" s="2" t="inlineStr"/>
      <c r="D72" s="2" t="inlineStr">
        <is>
          <t>Hello! How can we help you?  Report خالد اخي : 99732342   Sent from my iPhone</t>
        </is>
      </c>
      <c r="E72" s="4" t="inlineStr">
        <is>
          <t>99732342</t>
        </is>
      </c>
      <c r="F72" s="2" t="inlineStr">
        <is>
          <t>خالد اخي</t>
        </is>
      </c>
      <c r="G72" s="4" t="inlineStr">
        <is>
          <t>99732342</t>
        </is>
      </c>
    </row>
    <row r="73" ht="18" customHeight="1">
      <c r="A73" s="5" t="inlineStr">
        <is>
          <t>Khloud Alajme &lt;khloudalshealan@gmail.com&gt;</t>
        </is>
      </c>
      <c r="B73" s="6" t="inlineStr">
        <is>
          <t>khloudalshealan@gmail.com</t>
        </is>
      </c>
      <c r="C73" s="5" t="inlineStr">
        <is>
          <t>Name bully at me</t>
        </is>
      </c>
      <c r="D73" s="5" t="inlineStr">
        <is>
          <t>Hello! How can we help you?  Report خليده مليون : 99732342  Plz . The name bully at me Sent from my iPhone</t>
        </is>
      </c>
      <c r="E73" s="7" t="inlineStr">
        <is>
          <t>99732342</t>
        </is>
      </c>
      <c r="F73" s="5" t="inlineStr">
        <is>
          <t>خليده مليون</t>
        </is>
      </c>
      <c r="G73" s="7" t="inlineStr">
        <is>
          <t>99732342</t>
        </is>
      </c>
    </row>
    <row r="74" ht="18" customHeight="1">
      <c r="A74" s="2" t="inlineStr">
        <is>
          <t>Khloud Alajme &lt;khloudalshealan@gmail.com&gt;</t>
        </is>
      </c>
      <c r="B74" s="3" t="inlineStr">
        <is>
          <t>khloudalshealan@gmail.com</t>
        </is>
      </c>
      <c r="C74" s="2" t="inlineStr">
        <is>
          <t>Name bully at me</t>
        </is>
      </c>
      <c r="D74" s="2" t="inlineStr">
        <is>
          <t>Hello! How can we help you?  Report خليده : 99732342  It’s bully at me Sent from my iPhone</t>
        </is>
      </c>
      <c r="E74" s="4" t="inlineStr">
        <is>
          <t>99732342</t>
        </is>
      </c>
      <c r="F74" s="2" t="inlineStr">
        <is>
          <t>خليده</t>
        </is>
      </c>
      <c r="G74" s="4" t="inlineStr">
        <is>
          <t>99732342</t>
        </is>
      </c>
    </row>
    <row r="75" ht="18" customHeight="1">
      <c r="A75" s="5" t="inlineStr">
        <is>
          <t>Khloud Alajme &lt;khloudalshealan@gmail.com&gt;</t>
        </is>
      </c>
      <c r="B75" s="6" t="inlineStr">
        <is>
          <t>khloudalshealan@gmail.com</t>
        </is>
      </c>
      <c r="C75" s="5" t="inlineStr">
        <is>
          <t>Name bully at me</t>
        </is>
      </c>
      <c r="D75" s="5" t="inlineStr">
        <is>
          <t>Hello! How can we help you?  Report خلود طائره : 99732342  Please . Report they bully at me  Sent from my iPhone</t>
        </is>
      </c>
      <c r="E75" s="7" t="inlineStr">
        <is>
          <t>99732342</t>
        </is>
      </c>
      <c r="F75" s="5" t="inlineStr">
        <is>
          <t>خلود طائره</t>
        </is>
      </c>
      <c r="G75" s="7" t="inlineStr">
        <is>
          <t>99732342</t>
        </is>
      </c>
    </row>
    <row r="76" ht="18" customHeight="1">
      <c r="A76" s="2" t="inlineStr">
        <is>
          <t>kkyy6658@icloud.com</t>
        </is>
      </c>
      <c r="B76" s="3" t="inlineStr">
        <is>
          <t>kkyy6658@icloud.com</t>
        </is>
      </c>
      <c r="C76" s="2">
        <f>?utf-8?B?2KfZhNix2YLZhSDYp9mF2YbZiiA=?=</f>
        <v/>
      </c>
      <c r="D76" s="2" t="inlineStr">
        <is>
          <t>Hello! How can we help you?  Report حمد الرخيص- : 66898962   ‫أُرسلت من الـ iPhone‬</t>
        </is>
      </c>
      <c r="E76" s="4" t="inlineStr">
        <is>
          <t>66898962</t>
        </is>
      </c>
      <c r="F76" s="2" t="inlineStr">
        <is>
          <t>حمد الرخيص-</t>
        </is>
      </c>
      <c r="G76" s="4" t="inlineStr">
        <is>
          <t>66898962</t>
        </is>
      </c>
    </row>
    <row r="77" ht="18" customHeight="1">
      <c r="A77" s="5" t="inlineStr">
        <is>
          <t>kkyy6658@icloud.com</t>
        </is>
      </c>
      <c r="B77" s="6" t="inlineStr">
        <is>
          <t>kkyy6658@icloud.com</t>
        </is>
      </c>
      <c r="C77" s="5">
        <f>?utf-8?B?2KfZhNix2YLZhSDYp9mF2YbZiiA=?=</f>
        <v/>
      </c>
      <c r="D77" s="5" t="inlineStr">
        <is>
          <t>Hello! How can we help you?  Report حمد الرخيص - : 60659999   ‫أُرسلت من الـ iPhone‬</t>
        </is>
      </c>
      <c r="E77" s="7" t="inlineStr">
        <is>
          <t>60659999</t>
        </is>
      </c>
      <c r="F77" s="5" t="inlineStr">
        <is>
          <t>حمد الرخيص -</t>
        </is>
      </c>
      <c r="G77" s="7" t="inlineStr">
        <is>
          <t>60659999</t>
        </is>
      </c>
    </row>
    <row r="78" ht="18" customHeight="1">
      <c r="A78" s="2" t="inlineStr">
        <is>
          <t>kkyy6658@icloud.com</t>
        </is>
      </c>
      <c r="B78" s="3" t="inlineStr">
        <is>
          <t>kkyy6658@icloud.com</t>
        </is>
      </c>
      <c r="C78" s="2">
        <f>?utf-8?B?2KfZhNix2YLZhSDYp9mF2YbZiiA=?=</f>
        <v/>
      </c>
      <c r="D78" s="2" t="inlineStr">
        <is>
          <t>Hello! How can we help you?  Report حمد الرخيص : 60670700   ‫أُرسلت من الـ iPhone‬</t>
        </is>
      </c>
      <c r="E78" s="4" t="inlineStr">
        <is>
          <t>60670700</t>
        </is>
      </c>
      <c r="F78" s="2" t="inlineStr">
        <is>
          <t>حمد الرخيص</t>
        </is>
      </c>
      <c r="G78" s="4" t="inlineStr">
        <is>
          <t>60670700</t>
        </is>
      </c>
    </row>
    <row r="79" ht="18" customHeight="1">
      <c r="A79" s="5" t="inlineStr">
        <is>
          <t>kkyy6658@icloud.com</t>
        </is>
      </c>
      <c r="B79" s="6" t="inlineStr">
        <is>
          <t>kkyy6658@icloud.com</t>
        </is>
      </c>
      <c r="C79" s="5">
        <f>?utf-8?B?2KfZhNix2YLZhSDYp9mF2YbZiiA=?=</f>
        <v/>
      </c>
      <c r="D79" s="5" t="inlineStr">
        <is>
          <t>Hello! How can we help you?  Report حمد الرخيص- : 66563333   ‫أُرسلت من الـ iPhone‬</t>
        </is>
      </c>
      <c r="E79" s="7" t="inlineStr">
        <is>
          <t>66563333</t>
        </is>
      </c>
      <c r="F79" s="5" t="inlineStr">
        <is>
          <t>حمد الرخيص-</t>
        </is>
      </c>
      <c r="G79" s="7" t="inlineStr">
        <is>
          <t>66563333</t>
        </is>
      </c>
    </row>
    <row r="80" ht="18" customHeight="1">
      <c r="A80" s="2" t="inlineStr">
        <is>
          <t>kkyy6658@icloud.com</t>
        </is>
      </c>
      <c r="B80" s="3" t="inlineStr">
        <is>
          <t>kkyy6658@icloud.com</t>
        </is>
      </c>
      <c r="C80" s="2">
        <f>?utf-8?B?2KfZhNix2YLZhSDYp9mF2YbZiiA=?=</f>
        <v/>
      </c>
      <c r="D80" s="2" t="inlineStr">
        <is>
          <t>Hello! How can we help you?  Report حمد الرخيص : 66819821   ‫أُرسلت من الـ iPhone‬</t>
        </is>
      </c>
      <c r="E80" s="4" t="inlineStr">
        <is>
          <t>66819821</t>
        </is>
      </c>
      <c r="F80" s="2" t="inlineStr">
        <is>
          <t>حمد الرخيص</t>
        </is>
      </c>
      <c r="G80" s="4" t="inlineStr">
        <is>
          <t>66819821</t>
        </is>
      </c>
    </row>
    <row r="81" ht="18" customHeight="1">
      <c r="A81" s="5" t="inlineStr">
        <is>
          <t>Faleh Deairem Mohammad Alajmi &lt;fd.ajmi@knpc.com&gt;</t>
        </is>
      </c>
      <c r="B81" s="6" t="inlineStr">
        <is>
          <t>fd.ajmi@knpc.com</t>
        </is>
      </c>
      <c r="C81" s="5" t="inlineStr"/>
      <c r="D81" s="5" t="inlineStr">
        <is>
          <t xml:space="preserve">Hello! How can we help you?  Report فويلح-دعيرم : 50512127  ‫أُرسلت من الـ iPhone‬ </t>
        </is>
      </c>
      <c r="E81" s="7" t="inlineStr">
        <is>
          <t>50512127</t>
        </is>
      </c>
      <c r="F81" s="5" t="inlineStr">
        <is>
          <t>فويلح-دعيرم</t>
        </is>
      </c>
      <c r="G81" s="7" t="inlineStr">
        <is>
          <t>50512127</t>
        </is>
      </c>
    </row>
    <row r="82" ht="18" customHeight="1">
      <c r="A82" s="2" t="inlineStr">
        <is>
          <t>Mohammed Alajmi &lt;mohammedbojmu@gmail.com&gt;</t>
        </is>
      </c>
      <c r="B82" s="3" t="inlineStr">
        <is>
          <t>mohammedbojmu@gmail.com</t>
        </is>
      </c>
      <c r="C82" s="2">
        <f>?utf-8?B?2KfYqtmF2YbZiSDZhdiz2K0g2KfZhNin2LPZhSA=?=</f>
        <v/>
      </c>
      <c r="D82" s="2" t="inlineStr">
        <is>
          <t>Hello! How can we help you?  Report ز ابن متناكة فهد : 66407587   Sent from my iPhone</t>
        </is>
      </c>
      <c r="E82" s="4" t="inlineStr">
        <is>
          <t>66407587</t>
        </is>
      </c>
      <c r="F82" s="2" t="inlineStr">
        <is>
          <t>ز ابن متناكة فهد</t>
        </is>
      </c>
      <c r="G82" s="4" t="inlineStr">
        <is>
          <t>66407587</t>
        </is>
      </c>
    </row>
    <row r="83" ht="18" customHeight="1">
      <c r="A83" s="5" t="inlineStr">
        <is>
          <t>maali alshrifi &lt;maalialshrifi@yahoo.com&gt;</t>
        </is>
      </c>
      <c r="B83" s="6" t="inlineStr">
        <is>
          <t>maalialshrifi@yahoo.com</t>
        </is>
      </c>
      <c r="C83" s="5">
        <f>?utf-8?B?2KfZhNix2KzYp9ihINin2YTYudin2KEg2KfZhNi52YbZiNin2YYg?=  =?utf-8?B?2YTZhNiu2LXZiNi12YrZhw==?=</f>
        <v/>
      </c>
      <c r="D83" s="5" t="inlineStr">
        <is>
          <t>Hello! How can we help you?  Report قطعه 4 الشارع الاول : 99850928   Sent from my iPhone</t>
        </is>
      </c>
      <c r="E83" s="7" t="inlineStr">
        <is>
          <t>99850928</t>
        </is>
      </c>
      <c r="F83" s="5" t="inlineStr">
        <is>
          <t>قطعه 4 الشارع الاول</t>
        </is>
      </c>
      <c r="G83" s="7" t="inlineStr">
        <is>
          <t>99850928</t>
        </is>
      </c>
    </row>
    <row r="84" ht="18" customHeight="1">
      <c r="A84" s="2" t="inlineStr">
        <is>
          <t>Saif Alajmi &lt;shalmsamh@gmail.com&gt;</t>
        </is>
      </c>
      <c r="B84" s="3" t="inlineStr">
        <is>
          <t>shalmsamh@gmail.com</t>
        </is>
      </c>
      <c r="C84" s="2" t="inlineStr"/>
      <c r="D84" s="2" t="inlineStr">
        <is>
          <t>Hello! How can we help you?  Report سيف حمد السوري : 55669550   ‫أُرسلت من الـ iPhone‬</t>
        </is>
      </c>
      <c r="E84" s="4" t="inlineStr">
        <is>
          <t>55669550</t>
        </is>
      </c>
      <c r="F84" s="2" t="inlineStr">
        <is>
          <t>سيف حمد السوري</t>
        </is>
      </c>
      <c r="G84" s="4" t="inlineStr">
        <is>
          <t>55669550</t>
        </is>
      </c>
    </row>
    <row r="85" ht="18" customHeight="1">
      <c r="A85" s="5" t="inlineStr">
        <is>
          <t>muneera almutairi &lt;muneeraalmutairi20@gmail.com&gt;</t>
        </is>
      </c>
      <c r="B85" s="6" t="inlineStr">
        <is>
          <t>muneeraalmutairi20@gmail.com</t>
        </is>
      </c>
      <c r="C85" s="5" t="inlineStr">
        <is>
          <t>Insult by name</t>
        </is>
      </c>
      <c r="D85" s="5" t="inlineStr">
        <is>
          <t>please report in menodagapp 🛑🛑🛑🛑﻿ Hello! How can we help you?  Report منيرة الدب- : 94006566   Sent from my iPhone</t>
        </is>
      </c>
      <c r="E85" s="7" t="inlineStr">
        <is>
          <t>94006566</t>
        </is>
      </c>
      <c r="F85" s="5" t="inlineStr">
        <is>
          <t>منيرة الدب-</t>
        </is>
      </c>
      <c r="G85" s="7" t="inlineStr">
        <is>
          <t>94006566</t>
        </is>
      </c>
    </row>
    <row r="86" ht="18" customHeight="1">
      <c r="A86" s="2" t="inlineStr">
        <is>
          <t>A R &lt;hamany2002@icloud.com&gt;</t>
        </is>
      </c>
      <c r="B86" s="3" t="inlineStr">
        <is>
          <t>hamany2002@icloud.com</t>
        </is>
      </c>
      <c r="C86" s="2" t="inlineStr"/>
      <c r="D86" s="2" t="inlineStr">
        <is>
          <t>Hello! How can we help you?  Report كومار سايق ال-- : 67765502   Sent from my iPhone</t>
        </is>
      </c>
      <c r="E86" s="4" t="inlineStr">
        <is>
          <t>67765502</t>
        </is>
      </c>
      <c r="F86" s="2" t="inlineStr">
        <is>
          <t>كومار سايق ال--</t>
        </is>
      </c>
      <c r="G86" s="4" t="inlineStr">
        <is>
          <t>67765502</t>
        </is>
      </c>
    </row>
    <row r="87" ht="18" customHeight="1">
      <c r="A87" s="5" t="inlineStr">
        <is>
          <t>A R &lt;hamany2002@icloud.com&gt;</t>
        </is>
      </c>
      <c r="B87" s="6" t="inlineStr">
        <is>
          <t>hamany2002@icloud.com</t>
        </is>
      </c>
      <c r="C87" s="5" t="inlineStr"/>
      <c r="D87" s="5" t="inlineStr">
        <is>
          <t>Hello! How can we help you?  Report 3bdalr7man El36ar- : 67765502   Sent from my iPhone</t>
        </is>
      </c>
      <c r="E87" s="7" t="inlineStr">
        <is>
          <t>67765502</t>
        </is>
      </c>
      <c r="F87" s="5" t="inlineStr">
        <is>
          <t>3bdalr7man El36ar-</t>
        </is>
      </c>
      <c r="G87" s="7" t="inlineStr">
        <is>
          <t>67765502</t>
        </is>
      </c>
    </row>
    <row r="88" ht="18" customHeight="1">
      <c r="A88" s="2" t="inlineStr">
        <is>
          <t>A R &lt;hamany2002@icloud.com&gt;</t>
        </is>
      </c>
      <c r="B88" s="3" t="inlineStr">
        <is>
          <t>hamany2002@icloud.com</t>
        </is>
      </c>
      <c r="C88" s="2" t="inlineStr"/>
      <c r="D88" s="2" t="inlineStr">
        <is>
          <t>Hello! How can we help you?  Report كومار سايق ال- : 67765502   Sent from my iPhone</t>
        </is>
      </c>
      <c r="E88" s="4" t="inlineStr">
        <is>
          <t>67765502</t>
        </is>
      </c>
      <c r="F88" s="2" t="inlineStr">
        <is>
          <t>كومار سايق ال-</t>
        </is>
      </c>
      <c r="G88" s="4" t="inlineStr">
        <is>
          <t>67765502</t>
        </is>
      </c>
    </row>
    <row r="89" ht="18" customHeight="1">
      <c r="A89" s="5" t="inlineStr">
        <is>
          <t>Hassan Fawzy &lt;sir.commerce@yahoo.com&gt;</t>
        </is>
      </c>
      <c r="B89" s="6" t="inlineStr">
        <is>
          <t>sir.commerce@yahoo.com</t>
        </is>
      </c>
      <c r="C89" s="5" t="inlineStr">
        <is>
          <t>Offense name</t>
        </is>
      </c>
      <c r="D89" s="5" t="inlineStr">
        <is>
          <t>Hello! How can we help you?    Kindly remove the below name     Report اوسخ مخلوق على الارض : 66547716   Sent from my iPhone</t>
        </is>
      </c>
      <c r="E89" s="7" t="inlineStr">
        <is>
          <t>66547716</t>
        </is>
      </c>
      <c r="F89" s="5" t="inlineStr">
        <is>
          <t>اوسخ مخلوق على الارض</t>
        </is>
      </c>
      <c r="G89" s="7" t="inlineStr">
        <is>
          <t>66547716</t>
        </is>
      </c>
    </row>
    <row r="90" ht="18" customHeight="1">
      <c r="A90" s="2" t="inlineStr">
        <is>
          <t>Jrrah Otbi &lt;jrrahotb1@icloud.com&gt;</t>
        </is>
      </c>
      <c r="B90" s="3" t="inlineStr">
        <is>
          <t>jrrahotb1@icloud.com</t>
        </is>
      </c>
      <c r="C90" s="2" t="inlineStr"/>
      <c r="D90" s="2" t="inlineStr">
        <is>
          <t>Hello! How can we help you?  Report كنت مآضي في حياتي : 66672227   ‫أُرسلت من الـ iPhone‬</t>
        </is>
      </c>
      <c r="E90" s="4" t="inlineStr">
        <is>
          <t>66672227</t>
        </is>
      </c>
      <c r="F90" s="2" t="inlineStr">
        <is>
          <t>كنت مآضي في حياتي</t>
        </is>
      </c>
      <c r="G90" s="4" t="inlineStr">
        <is>
          <t>66672227</t>
        </is>
      </c>
    </row>
    <row r="91" ht="18" customHeight="1">
      <c r="A91" s="5" t="inlineStr">
        <is>
          <t>Jrrah Otbi &lt;jrrahotb1@icloud.com&gt;</t>
        </is>
      </c>
      <c r="B91" s="6" t="inlineStr">
        <is>
          <t>jrrahotb1@icloud.com</t>
        </is>
      </c>
      <c r="C91" s="5" t="inlineStr"/>
      <c r="D91" s="5" t="inlineStr">
        <is>
          <t>Hello! How can we help you?  Report جموح العتيبي- : 66672227   ‫أُرسلت من الـ iPhone‬</t>
        </is>
      </c>
      <c r="E91" s="7" t="inlineStr">
        <is>
          <t>66672227</t>
        </is>
      </c>
      <c r="F91" s="5" t="inlineStr">
        <is>
          <t>جموح العتيبي-</t>
        </is>
      </c>
      <c r="G91" s="7" t="inlineStr">
        <is>
          <t>66672227</t>
        </is>
      </c>
    </row>
    <row r="92" ht="18" customHeight="1">
      <c r="A92" s="2" t="inlineStr">
        <is>
          <t>Jrrah Otbi &lt;jrrahotb1@icloud.com&gt;</t>
        </is>
      </c>
      <c r="B92" s="3" t="inlineStr">
        <is>
          <t>jrrahotb1@icloud.com</t>
        </is>
      </c>
      <c r="C92" s="2" t="inlineStr"/>
      <c r="D92" s="2" t="inlineStr">
        <is>
          <t>Hello! How can we help you?  Report Jojo- : 66672227   ‫أُرسلت من الـ iPhone‬</t>
        </is>
      </c>
      <c r="E92" s="4" t="inlineStr">
        <is>
          <t>66672227</t>
        </is>
      </c>
      <c r="F92" s="2" t="inlineStr">
        <is>
          <t>Jojo-</t>
        </is>
      </c>
      <c r="G92" s="4" t="inlineStr">
        <is>
          <t>66672227</t>
        </is>
      </c>
    </row>
    <row r="93" ht="18" customHeight="1">
      <c r="A93" s="5" t="inlineStr">
        <is>
          <t>Mohammed Alhatlany &lt;moh.alhatlany@gmail.com&gt;</t>
        </is>
      </c>
      <c r="B93" s="6" t="inlineStr">
        <is>
          <t>moh.alhatlany@gmail.com</t>
        </is>
      </c>
      <c r="C93" s="5" t="inlineStr"/>
      <c r="D93" s="5" t="inlineStr">
        <is>
          <t>Hello! How can we help you?  Report ابو فارس الرشيدي زوج وزوجه وطفل واحد عايز دور ابو : 99591989   ‫أُرسلت من الـ iPhone‬</t>
        </is>
      </c>
      <c r="E93" s="7" t="inlineStr">
        <is>
          <t>99591989</t>
        </is>
      </c>
      <c r="F93" s="5" t="inlineStr">
        <is>
          <t>ابو فارس الرشيدي زوج وزوجه وطفل واحد عايز دور ابو</t>
        </is>
      </c>
      <c r="G93" s="7" t="inlineStr">
        <is>
          <t>99591989</t>
        </is>
      </c>
    </row>
    <row r="94" ht="18" customHeight="1">
      <c r="A94" s="2" t="inlineStr">
        <is>
          <t>Mohammed Alhatlany &lt;moh.alhatlany@gmail.com&gt;</t>
        </is>
      </c>
      <c r="B94" s="3" t="inlineStr">
        <is>
          <t>moh.alhatlany@gmail.com</t>
        </is>
      </c>
      <c r="C94" s="2" t="inlineStr"/>
      <c r="D94" s="2" t="inlineStr">
        <is>
          <t>Hello! How can we help you?  Report اا397 محمد الرشيدى طالب دور 1000 : 99591989   ‫أُرسلت من الـ iPhone‬</t>
        </is>
      </c>
      <c r="E94" s="4" t="inlineStr">
        <is>
          <t>99591989</t>
        </is>
      </c>
      <c r="F94" s="2" t="inlineStr">
        <is>
          <t>اا397 محمد الرشيدى طالب دور 1000</t>
        </is>
      </c>
      <c r="G94" s="4" t="inlineStr">
        <is>
          <t>99591989</t>
        </is>
      </c>
    </row>
    <row r="95" ht="18" customHeight="1">
      <c r="A95" s="5" t="inlineStr">
        <is>
          <t>Naser Refaei &lt;nasar_577@outlook.com&gt;</t>
        </is>
      </c>
      <c r="B95" s="6" t="inlineStr">
        <is>
          <t>nasar_577@outlook.com</t>
        </is>
      </c>
      <c r="C95" s="5">
        <f>?utf-8?B?2KfYs9mFINmE2YrYsyDZhNmHINi12YTYqSDZgdmK2YbZiiDYjCDYtdin2K0=?=  =?utf-8?B?2Kgg2KfZhNix2YLZhSDYp9mG2Kcg2LTYrti1INii2K7YsQ==?=</f>
        <v/>
      </c>
      <c r="D95" s="5" t="inlineStr">
        <is>
          <t xml:space="preserve">Hello! How can we help you?  Report خزامه السالميه 11- : 94448771  ‫أُرسلت من الـ iPhone‬ </t>
        </is>
      </c>
      <c r="E95" s="7" t="inlineStr">
        <is>
          <t>94448771</t>
        </is>
      </c>
      <c r="F95" s="5" t="inlineStr">
        <is>
          <t>خزامه السالميه 11-</t>
        </is>
      </c>
      <c r="G95" s="7" t="inlineStr">
        <is>
          <t>94448771</t>
        </is>
      </c>
    </row>
    <row r="96" ht="18" customHeight="1">
      <c r="A96" s="2" t="inlineStr">
        <is>
          <t>Naser Refaei &lt;nasar_577@outlook.com&gt;</t>
        </is>
      </c>
      <c r="B96" s="3" t="inlineStr">
        <is>
          <t>nasar_577@outlook.com</t>
        </is>
      </c>
      <c r="C96" s="2">
        <f>?utf-8?B?2KfYs9mFINmE2YrYsyDZhNmHINi12YTYqSDZgdmK2YbZiiDYp9mG2Kcg2LQ=?=  =?utf-8?B?2K7YtSDYotiu2LE=?=</f>
        <v/>
      </c>
      <c r="D96" s="2" t="inlineStr">
        <is>
          <t xml:space="preserve">Hello! How can we help you?  Report احلام صاحبة براك- : 94448771  ‫أُرسلت من الـ iPhone‬ </t>
        </is>
      </c>
      <c r="E96" s="4" t="inlineStr">
        <is>
          <t>94448771</t>
        </is>
      </c>
      <c r="F96" s="2" t="inlineStr">
        <is>
          <t>احلام صاحبة براك-</t>
        </is>
      </c>
      <c r="G96" s="4" t="inlineStr">
        <is>
          <t>94448771</t>
        </is>
      </c>
    </row>
    <row r="97" ht="18" customHeight="1">
      <c r="A97" s="5" t="inlineStr">
        <is>
          <t>mabajmi@gmail.com</t>
        </is>
      </c>
      <c r="B97" s="6" t="inlineStr">
        <is>
          <t>mabajmi@gmail.com</t>
        </is>
      </c>
      <c r="C97" s="5" t="inlineStr"/>
      <c r="D97" s="5" t="inlineStr">
        <is>
          <t>Hello! How can we help you?  Report مشاعل : 99875711   ‫أُرسلت من الـ iPhone‬</t>
        </is>
      </c>
      <c r="E97" s="7" t="inlineStr">
        <is>
          <t>99875711</t>
        </is>
      </c>
      <c r="F97" s="5" t="inlineStr">
        <is>
          <t>مشاعل</t>
        </is>
      </c>
      <c r="G97" s="7" t="inlineStr">
        <is>
          <t>99875711</t>
        </is>
      </c>
    </row>
    <row r="98" ht="18" customHeight="1">
      <c r="A98" s="2" t="inlineStr">
        <is>
          <t>mashari alshammairi &lt;aboazoz16@icloud.com&gt;</t>
        </is>
      </c>
      <c r="B98" s="3" t="inlineStr">
        <is>
          <t>aboazoz16@icloud.com</t>
        </is>
      </c>
      <c r="C98" s="2">
        <f>?utf-8?B?2KfZhNix2K3Yp9ihINit2LDZgSDYp9mE2KfYs9mFINmF2Lkg2Kc=?=  =?utf-8?B?2YTYsdmC2YU=?=</f>
        <v/>
      </c>
      <c r="D98" s="2" t="inlineStr">
        <is>
          <t xml:space="preserve">Hello! How can we help you?  Report جسم17 : 90088815   مشاري علي الشمري </t>
        </is>
      </c>
      <c r="E98" s="4" t="inlineStr">
        <is>
          <t>90088815</t>
        </is>
      </c>
      <c r="F98" s="2" t="inlineStr">
        <is>
          <t>جسم17</t>
        </is>
      </c>
      <c r="G98" s="4" t="inlineStr">
        <is>
          <t>90088815</t>
        </is>
      </c>
    </row>
    <row r="99" ht="18" customHeight="1">
      <c r="A99" s="5" t="inlineStr">
        <is>
          <t>Khaled musaid Alghaith &lt;kmalgh@icloud.com&gt;</t>
        </is>
      </c>
      <c r="B99" s="6" t="inlineStr">
        <is>
          <t>kmalgh@icloud.com</t>
        </is>
      </c>
      <c r="C99" s="5" t="inlineStr"/>
      <c r="D99" s="5" t="inlineStr">
        <is>
          <t>Hello! How can we help you?  Report Fara7 Al T5aim 2- : 99811188   Sent from my iPhone</t>
        </is>
      </c>
      <c r="E99" s="7" t="inlineStr">
        <is>
          <t>99811188</t>
        </is>
      </c>
      <c r="F99" s="5" t="inlineStr">
        <is>
          <t>Fara7 Al T5aim 2-</t>
        </is>
      </c>
      <c r="G99" s="7" t="inlineStr">
        <is>
          <t>99811188</t>
        </is>
      </c>
    </row>
    <row r="100" ht="18" customHeight="1">
      <c r="A100" s="2" t="inlineStr">
        <is>
          <t>ABDULRAHMAN ALI &lt;alkandariimp@gmail.com&gt;</t>
        </is>
      </c>
      <c r="B100" s="3" t="inlineStr">
        <is>
          <t>alkandariimp@gmail.com</t>
        </is>
      </c>
      <c r="C100" s="2" t="inlineStr">
        <is>
          <t xml:space="preserve">Please erase it quickly please </t>
        </is>
      </c>
      <c r="D100" s="2" t="inlineStr">
        <is>
          <t>Hello! How can we help you?  Report محاشي لبنانية- : 97797329  Please erase it quickly please  Sent from my iPhone</t>
        </is>
      </c>
      <c r="E100" s="4" t="inlineStr">
        <is>
          <t>97797329</t>
        </is>
      </c>
      <c r="F100" s="2" t="inlineStr">
        <is>
          <t>محاشي لبنانية-</t>
        </is>
      </c>
      <c r="G100" s="4" t="inlineStr">
        <is>
          <t>97797329</t>
        </is>
      </c>
    </row>
    <row r="101" ht="18" customHeight="1">
      <c r="A101" s="5" t="inlineStr">
        <is>
          <t>hadeel ahmad &lt;hadooola_9991@icloud.com&gt;</t>
        </is>
      </c>
      <c r="B101" s="6" t="inlineStr">
        <is>
          <t>hadooola_9991@icloud.com</t>
        </is>
      </c>
      <c r="C101" s="5" t="inlineStr"/>
      <c r="D101" s="5" t="inlineStr">
        <is>
          <t>Hello! How can we help you?  Report rfejat rqya hanan : 51106022   Sent from my iPhone</t>
        </is>
      </c>
      <c r="E101" s="7" t="inlineStr">
        <is>
          <t>51106022</t>
        </is>
      </c>
      <c r="F101" s="5" t="inlineStr">
        <is>
          <t>rfejat rqya hanan</t>
        </is>
      </c>
      <c r="G101" s="7" t="inlineStr">
        <is>
          <t>51106022</t>
        </is>
      </c>
    </row>
    <row r="102" ht="18" customHeight="1">
      <c r="A102" s="2" t="inlineStr">
        <is>
          <t>Assila Almutairi &lt;a9olzii96@icloud.com&gt;</t>
        </is>
      </c>
      <c r="B102" s="3" t="inlineStr">
        <is>
          <t>a9olzii96@icloud.com</t>
        </is>
      </c>
      <c r="C102" s="2" t="inlineStr"/>
      <c r="D102" s="2" t="inlineStr">
        <is>
          <t xml:space="preserve">Hello! How can we help you?  Report Ali Akbar - Operation ✈️ : 55665998   Sent from my iPhone  الاسم مايمثلني رجاءا امسحوه </t>
        </is>
      </c>
      <c r="E102" s="4" t="inlineStr">
        <is>
          <t>55665998</t>
        </is>
      </c>
      <c r="F102" s="2" t="inlineStr">
        <is>
          <t>Ali Akbar - Operation ✈️</t>
        </is>
      </c>
      <c r="G102" s="4" t="inlineStr">
        <is>
          <t>55665998</t>
        </is>
      </c>
    </row>
    <row r="103" ht="18" customHeight="1">
      <c r="A103" s="5" t="inlineStr">
        <is>
          <t>Shahad Alsaleh &lt;Shahad.alsaleh90@hotmail.com&gt;</t>
        </is>
      </c>
      <c r="B103" s="6" t="inlineStr">
        <is>
          <t>Shahad.alsaleh90@hotmail.com</t>
        </is>
      </c>
      <c r="C103" s="5">
        <f>?utf-8?B?2LTZitmE2YjZhw==?=</f>
        <v/>
      </c>
      <c r="D103" s="5" t="inlineStr">
        <is>
          <t xml:space="preserve">Hello! How can we help you?  Report ام الباترول❤️ : 98701234  بليز شيلو هالاسم زاعجني   Sent from my iPhone </t>
        </is>
      </c>
      <c r="E103" s="7" t="inlineStr">
        <is>
          <t>98701234</t>
        </is>
      </c>
      <c r="F103" s="5" t="inlineStr">
        <is>
          <t>ام الباترول❤️</t>
        </is>
      </c>
      <c r="G103" s="7" t="inlineStr">
        <is>
          <t>98701234</t>
        </is>
      </c>
    </row>
    <row r="104" ht="18" customHeight="1">
      <c r="A104" s="2" t="inlineStr">
        <is>
          <t>abdulaziz1098@icloud.com</t>
        </is>
      </c>
      <c r="B104" s="3" t="inlineStr">
        <is>
          <t>abdulaziz1098@icloud.com</t>
        </is>
      </c>
      <c r="C104" s="2">
        <f>?utf-8?B?2K3YsNmBINin2LPZhS4g2YHZitiq2YQg?=</f>
        <v/>
      </c>
      <c r="D104" s="2" t="inlineStr">
        <is>
          <t>Hello! How can we help you?  Report فيصل عبدالعزيز الهديبان (فيتل ) : 66000773   Sent from my iPhone</t>
        </is>
      </c>
      <c r="E104" s="4" t="inlineStr">
        <is>
          <t>66000773</t>
        </is>
      </c>
      <c r="F104" s="2" t="inlineStr">
        <is>
          <t>فيصل عبدالعزيز الهديبان (فيتل )</t>
        </is>
      </c>
      <c r="G104" s="4" t="inlineStr">
        <is>
          <t>66000773</t>
        </is>
      </c>
    </row>
    <row r="105" ht="18" customHeight="1">
      <c r="A105" s="5" t="inlineStr">
        <is>
          <t>Yousef Alhaj &lt;l_b_e_h@hotmail.com&gt;</t>
        </is>
      </c>
      <c r="B105" s="6" t="inlineStr">
        <is>
          <t>l_b_e_h@hotmail.com</t>
        </is>
      </c>
      <c r="C105" s="5">
        <f>?utf-8?B?2KfZhNix2KzYp9ihINmF2LPYrSDYp9mE2KfYs9mFINmF2LPZitihINmE2Yo=?=</f>
        <v/>
      </c>
      <c r="D105" s="5" t="inlineStr">
        <is>
          <t xml:space="preserve">Hello! How can we help you?  Report يوسف الحاج فسفس : 55784443 </t>
        </is>
      </c>
      <c r="E105" s="7" t="inlineStr">
        <is>
          <t>55784443</t>
        </is>
      </c>
      <c r="F105" s="5" t="inlineStr">
        <is>
          <t>يوسف الحاج فسفس</t>
        </is>
      </c>
      <c r="G105" s="7" t="inlineStr">
        <is>
          <t>55784443</t>
        </is>
      </c>
    </row>
    <row r="106" ht="18" customHeight="1">
      <c r="A106" s="2" t="inlineStr">
        <is>
          <t>Loooly &lt;al7ub010@gmail.com&gt;</t>
        </is>
      </c>
      <c r="B106" s="3" t="inlineStr">
        <is>
          <t>al7ub010@gmail.com</t>
        </is>
      </c>
      <c r="C106" s="2" t="inlineStr"/>
      <c r="D106" s="2" t="inlineStr">
        <is>
          <t xml:space="preserve">Hello! How can we help you?  Report خالد الي عند اسامه- : 66443322   Sent from my iPhone برجاء حذف الاسم .. منعا للمشاكل </t>
        </is>
      </c>
      <c r="E106" s="4" t="inlineStr">
        <is>
          <t>66443322</t>
        </is>
      </c>
      <c r="F106" s="2" t="inlineStr">
        <is>
          <t>خالد الي عند اسامه-</t>
        </is>
      </c>
      <c r="G106" s="4" t="inlineStr">
        <is>
          <t>66443322</t>
        </is>
      </c>
    </row>
    <row r="107" ht="18" customHeight="1">
      <c r="A107" s="5" t="inlineStr">
        <is>
          <t>Hassan Hazaa &lt;hassanhazaaa@gmail.com&gt;</t>
        </is>
      </c>
      <c r="B107" s="6" t="inlineStr">
        <is>
          <t>hassanhazaaa@gmail.com</t>
        </is>
      </c>
      <c r="C107" s="5" t="inlineStr"/>
      <c r="D107" s="5" t="inlineStr">
        <is>
          <t>Hello! How can we help you?  Report صاحبي العدان السجلات : 55017017  السلام عليكم .. ياليت يتم مسح هالاسم   وووشكرا   ‫أُرسلت من الـ iPhone‬</t>
        </is>
      </c>
      <c r="E107" s="7" t="inlineStr">
        <is>
          <t>55017017</t>
        </is>
      </c>
      <c r="F107" s="5" t="inlineStr">
        <is>
          <t>صاحبي العدان السجلات</t>
        </is>
      </c>
      <c r="G107" s="7" t="inlineStr">
        <is>
          <t>55017017</t>
        </is>
      </c>
    </row>
    <row r="108" ht="18" customHeight="1">
      <c r="A108" s="2" t="inlineStr">
        <is>
          <t>maziad alrajhi &lt;vxr.2010@hotmail.com&gt;</t>
        </is>
      </c>
      <c r="B108" s="3" t="inlineStr">
        <is>
          <t>vxr.2010@hotmail.com</t>
        </is>
      </c>
      <c r="C108" s="2">
        <f>?utf-8?B?2KfYsdis2Ygg2KfYstin2YTZhyDZh9iw2Kcg2KfZhNin2LPZhQ==?=</f>
        <v/>
      </c>
      <c r="D108" s="2" t="inlineStr">
        <is>
          <t xml:space="preserve">Hello! How can we help you?  Report مزيد الطباع : 66774471  Maziad Alrajhi </t>
        </is>
      </c>
      <c r="E108" s="4" t="inlineStr">
        <is>
          <t>66774471</t>
        </is>
      </c>
      <c r="F108" s="2" t="inlineStr">
        <is>
          <t>مزيد الطباع</t>
        </is>
      </c>
      <c r="G108" s="4" t="inlineStr">
        <is>
          <t>66774471</t>
        </is>
      </c>
    </row>
    <row r="109" ht="18" customHeight="1">
      <c r="A109" s="5" t="inlineStr">
        <is>
          <t>alwagd alwagd &lt;alwagd@live.com&gt;</t>
        </is>
      </c>
      <c r="B109" s="6" t="inlineStr">
        <is>
          <t>alwagd@live.com</t>
        </is>
      </c>
      <c r="C109" s="5" t="inlineStr"/>
      <c r="D109" s="5" t="inlineStr">
        <is>
          <t xml:space="preserve">Hello! How can we help you?  Report Khaled Bottom : 69929999  ‫أُرسلت من الـ iPhone‬ ياجماعه احذو الي مسجلني </t>
        </is>
      </c>
      <c r="E109" s="7" t="inlineStr">
        <is>
          <t>69929999</t>
        </is>
      </c>
      <c r="F109" s="5" t="inlineStr">
        <is>
          <t>Khaled Bottom</t>
        </is>
      </c>
      <c r="G109" s="7" t="inlineStr">
        <is>
          <t>69929999</t>
        </is>
      </c>
    </row>
    <row r="110" ht="18" customHeight="1">
      <c r="A110" s="2" t="inlineStr">
        <is>
          <t>muna_awadh2@icloud.com</t>
        </is>
      </c>
      <c r="B110" s="3" t="inlineStr">
        <is>
          <t>muna_awadh2@icloud.com</t>
        </is>
      </c>
      <c r="C110" s="2">
        <f>?utf-8?B?2J8=?=</f>
        <v/>
      </c>
      <c r="D110" s="2" t="inlineStr">
        <is>
          <t>Hello! How can we help you?  Report منى عوض بواقة الرياييل : 66361029   Sent from my iPhone</t>
        </is>
      </c>
      <c r="E110" s="4" t="inlineStr">
        <is>
          <t>66361029</t>
        </is>
      </c>
      <c r="F110" s="2" t="inlineStr">
        <is>
          <t>منى عوض بواقة الرياييل</t>
        </is>
      </c>
      <c r="G110" s="4" t="inlineStr">
        <is>
          <t>66361029</t>
        </is>
      </c>
    </row>
    <row r="111" ht="18" customHeight="1">
      <c r="A111" s="5" t="inlineStr">
        <is>
          <t>Lulwa AlSaad &lt;lulwafalsaad@gmail.com&gt;</t>
        </is>
      </c>
      <c r="B111" s="6" t="inlineStr">
        <is>
          <t>lulwafalsaad@gmail.com</t>
        </is>
      </c>
      <c r="C111" s="5" t="inlineStr"/>
      <c r="D111" s="5" t="inlineStr">
        <is>
          <t>Hello! How can we help you?  Report زينة العثمان : 97479384   Sent from my iPhone</t>
        </is>
      </c>
      <c r="E111" s="7" t="inlineStr">
        <is>
          <t>97479384</t>
        </is>
      </c>
      <c r="F111" s="5" t="inlineStr">
        <is>
          <t>زينة العثمان</t>
        </is>
      </c>
      <c r="G111" s="7" t="inlineStr">
        <is>
          <t>97479384</t>
        </is>
      </c>
    </row>
    <row r="112" ht="18" customHeight="1">
      <c r="A112" s="2" t="inlineStr">
        <is>
          <t>Lulwa AlSaad &lt;lulwafalsaad@gmail.com&gt;</t>
        </is>
      </c>
      <c r="B112" s="3" t="inlineStr">
        <is>
          <t>lulwafalsaad@gmail.com</t>
        </is>
      </c>
      <c r="C112" s="2" t="inlineStr"/>
      <c r="D112" s="2" t="inlineStr">
        <is>
          <t>Hello! How can we help you?  Report تمويل أمانات : 97479384   Sent from my iPhone</t>
        </is>
      </c>
      <c r="E112" s="4" t="inlineStr">
        <is>
          <t>97479384</t>
        </is>
      </c>
      <c r="F112" s="2" t="inlineStr">
        <is>
          <t>تمويل أمانات</t>
        </is>
      </c>
      <c r="G112" s="4" t="inlineStr">
        <is>
          <t>97479384</t>
        </is>
      </c>
    </row>
    <row r="113" ht="18" customHeight="1">
      <c r="A113" s="5" t="inlineStr">
        <is>
          <t>hanon shehab &lt;hanonshehab@gmail.com&gt;</t>
        </is>
      </c>
      <c r="B113" s="6" t="inlineStr">
        <is>
          <t>hanonshehab@gmail.com</t>
        </is>
      </c>
      <c r="C113" s="5">
        <f>?utf-8?B?2KfZhNin2LPZhSDYutmK2LEg2LXYrdmK2K0g2KfYsdis2Ygg2Kc=?=  =?utf-8?B?2YTYrdiw2YE=?=</f>
        <v/>
      </c>
      <c r="D113" s="5" t="inlineStr">
        <is>
          <t>Hello! How can we help you?  Report زبونه ابو حليفه : 60905355   Sent from my iPhone</t>
        </is>
      </c>
      <c r="E113" s="7" t="inlineStr">
        <is>
          <t>60905355</t>
        </is>
      </c>
      <c r="F113" s="5" t="inlineStr">
        <is>
          <t>زبونه ابو حليفه</t>
        </is>
      </c>
      <c r="G113" s="7" t="inlineStr">
        <is>
          <t>60905355</t>
        </is>
      </c>
    </row>
    <row r="114" ht="18" customHeight="1">
      <c r="A114" s="2" t="inlineStr">
        <is>
          <t>malik almutairi &lt;swaik.crash@gmail.com&gt;</t>
        </is>
      </c>
      <c r="B114" s="3" t="inlineStr">
        <is>
          <t>swaik.crash@gmail.com</t>
        </is>
      </c>
      <c r="C114" s="2">
        <f>?utf-8?B?2KfYsdis2Ygg2YXYs9itINmH2LDYpyDYp9mE2KfYs9mFINmE2YQ=?=  =?utf-8?B?2LbYsdmI2LHZhw==?=</f>
        <v/>
      </c>
      <c r="D114" s="2" t="inlineStr">
        <is>
          <t>Hello! How can we help you?  Report قطوه شيرازيه زيتيه- : 65994965   ‫أُرسلت من الـ iPhone‬</t>
        </is>
      </c>
      <c r="E114" s="4" t="inlineStr">
        <is>
          <t>65994965</t>
        </is>
      </c>
      <c r="F114" s="2" t="inlineStr">
        <is>
          <t>قطوه شيرازيه زيتيه-</t>
        </is>
      </c>
      <c r="G114" s="4" t="inlineStr">
        <is>
          <t>65994965</t>
        </is>
      </c>
    </row>
    <row r="115" ht="18" customHeight="1">
      <c r="A115" s="5" t="inlineStr">
        <is>
          <t>fahad alajmi &lt;fahad098mu@icloud.com&gt;</t>
        </is>
      </c>
      <c r="B115" s="6" t="inlineStr">
        <is>
          <t>fahad098mu@icloud.com</t>
        </is>
      </c>
      <c r="C115" s="5" t="inlineStr"/>
      <c r="D115" s="5" t="inlineStr">
        <is>
          <t>Hello! How can we help you?  Report Samwell tarly : 50223773   ‫أُرسلت من الـ iPhone‬</t>
        </is>
      </c>
      <c r="E115" s="7" t="inlineStr">
        <is>
          <t>50223773</t>
        </is>
      </c>
      <c r="F115" s="5" t="inlineStr">
        <is>
          <t>Samwell tarly</t>
        </is>
      </c>
      <c r="G115" s="7" t="inlineStr">
        <is>
          <t>50223773</t>
        </is>
      </c>
    </row>
    <row r="116" ht="18" customHeight="1">
      <c r="A116" s="2" t="inlineStr">
        <is>
          <t>fahad alajmi &lt;fahad098mu@icloud.com&gt;</t>
        </is>
      </c>
      <c r="B116" s="3" t="inlineStr">
        <is>
          <t>fahad098mu@icloud.com</t>
        </is>
      </c>
      <c r="C116" s="2" t="inlineStr"/>
      <c r="D116" s="2" t="inlineStr">
        <is>
          <t>Hello! How can we help you?  Report فهد ناصر (عبدالله الخبل) : 50223773   ‫أُرسلت من الـ iPhone‬</t>
        </is>
      </c>
      <c r="E116" s="4" t="inlineStr">
        <is>
          <t>50223773</t>
        </is>
      </c>
      <c r="F116" s="2" t="inlineStr">
        <is>
          <t>فهد ناصر (عبدالله الخبل)</t>
        </is>
      </c>
      <c r="G116" s="4" t="inlineStr">
        <is>
          <t>50223773</t>
        </is>
      </c>
    </row>
    <row r="117" ht="18" customHeight="1">
      <c r="A117" s="5" t="inlineStr">
        <is>
          <t>Yahya Alyahya &lt;yahyaalyahya99@icloud.com&gt;</t>
        </is>
      </c>
      <c r="B117" s="6" t="inlineStr">
        <is>
          <t>yahyaalyahya99@icloud.com</t>
        </is>
      </c>
      <c r="C117" s="5" t="inlineStr">
        <is>
          <t xml:space="preserve">This is my number </t>
        </is>
      </c>
      <c r="D117" s="5" t="inlineStr">
        <is>
          <t>Hello! How can we help you?    Can you remove this name ???   Because im facing problems   Report My Future Bae❤️ : 66734585   Sent from my iPhone</t>
        </is>
      </c>
      <c r="E117" s="7" t="inlineStr">
        <is>
          <t>66734585</t>
        </is>
      </c>
      <c r="F117" s="5" t="inlineStr">
        <is>
          <t>My Future Bae❤️</t>
        </is>
      </c>
      <c r="G117" s="7" t="inlineStr">
        <is>
          <t>66734585</t>
        </is>
      </c>
    </row>
    <row r="118" ht="18" customHeight="1">
      <c r="A118" s="2" t="inlineStr">
        <is>
          <t>roumiko fps &lt;roumikofps@gmail.com&gt;</t>
        </is>
      </c>
      <c r="B118" s="3" t="inlineStr">
        <is>
          <t>roumikofps@gmail.com</t>
        </is>
      </c>
      <c r="C118" s="2" t="inlineStr">
        <is>
          <t xml:space="preserve">Information removal </t>
        </is>
      </c>
      <c r="D118" s="2" t="inlineStr">
        <is>
          <t xml:space="preserve">Hello! How can we help you?  Report جهاز عيار : 97138387    Please remove information of my phone number in this application </t>
        </is>
      </c>
      <c r="E118" s="4" t="inlineStr">
        <is>
          <t>97138387</t>
        </is>
      </c>
      <c r="F118" s="2" t="inlineStr">
        <is>
          <t>جهاز عيار</t>
        </is>
      </c>
      <c r="G118" s="4" t="inlineStr">
        <is>
          <t>97138387</t>
        </is>
      </c>
    </row>
    <row r="119" ht="18" customHeight="1">
      <c r="A119" s="5" t="inlineStr">
        <is>
          <t>Humoud Al Sabah &lt;humoud67@hotmail.com&gt;</t>
        </is>
      </c>
      <c r="B119" s="6" t="inlineStr">
        <is>
          <t>humoud67@hotmail.com</t>
        </is>
      </c>
      <c r="C119" s="5">
        <f>?utf-8?B?2K3YsNmBIA==?=</f>
        <v/>
      </c>
      <c r="D119" s="5" t="inlineStr">
        <is>
          <t xml:space="preserve">Hello! How can we help you?  Report Wa7ed Thaneee : 50303333 </t>
        </is>
      </c>
      <c r="E119" s="7" t="inlineStr">
        <is>
          <t>50303333</t>
        </is>
      </c>
      <c r="F119" s="5" t="inlineStr">
        <is>
          <t>Wa7ed Thaneee</t>
        </is>
      </c>
      <c r="G119" s="7" t="inlineStr">
        <is>
          <t>50303333</t>
        </is>
      </c>
    </row>
    <row r="120" ht="18" customHeight="1">
      <c r="A120" s="2" t="inlineStr">
        <is>
          <t>Humoud Al Sabah &lt;humoud67@hotmail.com&gt;</t>
        </is>
      </c>
      <c r="B120" s="3" t="inlineStr">
        <is>
          <t>humoud67@hotmail.com</t>
        </is>
      </c>
      <c r="C120" s="2">
        <f>?utf-8?B?2K3YsNmBIA==?=</f>
        <v/>
      </c>
      <c r="D120" s="2" t="inlineStr">
        <is>
          <t xml:space="preserve">Hello! How can we help you?  Report حبيبي ودنيتي : 50303333 </t>
        </is>
      </c>
      <c r="E120" s="4" t="inlineStr">
        <is>
          <t>50303333</t>
        </is>
      </c>
      <c r="F120" s="2" t="inlineStr">
        <is>
          <t>حبيبي ودنيتي</t>
        </is>
      </c>
      <c r="G120" s="4" t="inlineStr">
        <is>
          <t>50303333</t>
        </is>
      </c>
    </row>
    <row r="121" ht="18" customHeight="1">
      <c r="A121" s="5" t="inlineStr">
        <is>
          <t>Yousef Nasser &lt;yousefmn99@gmail.com&gt;</t>
        </is>
      </c>
      <c r="B121" s="6" t="inlineStr">
        <is>
          <t>yousefmn99@gmail.com</t>
        </is>
      </c>
      <c r="C121" s="5" t="inlineStr">
        <is>
          <t xml:space="preserve">Urgent </t>
        </is>
      </c>
      <c r="D121" s="5" t="inlineStr">
        <is>
          <t>Hello! How can we help you?  Please delete the number  Report طيف : 99803626   Sent from my iPhone</t>
        </is>
      </c>
      <c r="E121" s="7" t="inlineStr">
        <is>
          <t>99803626</t>
        </is>
      </c>
      <c r="F121" s="5" t="inlineStr">
        <is>
          <t>طيف</t>
        </is>
      </c>
      <c r="G121" s="7" t="inlineStr">
        <is>
          <t>99803626</t>
        </is>
      </c>
    </row>
    <row r="122" ht="18" customHeight="1">
      <c r="A122" s="2" t="inlineStr">
        <is>
          <t>MAHDI ALAJMI &lt;m_mansoor_mm@icloud.com&gt;</t>
        </is>
      </c>
      <c r="B122" s="3" t="inlineStr">
        <is>
          <t>m_mansoor_mm@icloud.com</t>
        </is>
      </c>
      <c r="C122" s="2" t="inlineStr"/>
      <c r="D122" s="2" t="inlineStr">
        <is>
          <t>Hello! How can we help you?  Report سعودية تبي شقة250 : 94133418   ‫أُرسلت من الـ iPhone‬</t>
        </is>
      </c>
      <c r="E122" s="4" t="inlineStr">
        <is>
          <t>94133418</t>
        </is>
      </c>
      <c r="F122" s="2" t="inlineStr">
        <is>
          <t>سعودية تبي شقة250</t>
        </is>
      </c>
      <c r="G122" s="4" t="inlineStr">
        <is>
          <t>94133418</t>
        </is>
      </c>
    </row>
    <row r="123" ht="18" customHeight="1">
      <c r="A123" s="5" t="inlineStr">
        <is>
          <t>Yaqoub Almuaili &lt;A8obi@hotmail.com&gt;</t>
        </is>
      </c>
      <c r="B123" s="6" t="inlineStr">
        <is>
          <t>A8obi@hotmail.com</t>
        </is>
      </c>
      <c r="C123" s="5" t="inlineStr"/>
      <c r="D123" s="5" t="inlineStr">
        <is>
          <t xml:space="preserve">Hello! How can we help you?  Report قليل ادب : 65655548  Sent from my iPhone </t>
        </is>
      </c>
      <c r="E123" s="7" t="inlineStr">
        <is>
          <t>65655548</t>
        </is>
      </c>
      <c r="F123" s="5" t="inlineStr">
        <is>
          <t>قليل ادب</t>
        </is>
      </c>
      <c r="G123" s="7" t="inlineStr">
        <is>
          <t>65655548</t>
        </is>
      </c>
    </row>
    <row r="124" ht="18" customHeight="1">
      <c r="A124" s="2" t="inlineStr">
        <is>
          <t>b b &lt;kuw662@outlook.com&gt;</t>
        </is>
      </c>
      <c r="B124" s="3" t="inlineStr">
        <is>
          <t>kuw662@outlook.com</t>
        </is>
      </c>
      <c r="C124" s="2" t="inlineStr"/>
      <c r="D124" s="2" t="inlineStr">
        <is>
          <t xml:space="preserve">Hello! How can we help you?  Report ماتعامل : 55251478  Sent from my iPhone </t>
        </is>
      </c>
      <c r="E124" s="4" t="inlineStr">
        <is>
          <t>55251478</t>
        </is>
      </c>
      <c r="F124" s="2" t="inlineStr">
        <is>
          <t>ماتعامل</t>
        </is>
      </c>
      <c r="G124" s="4" t="inlineStr">
        <is>
          <t>55251478</t>
        </is>
      </c>
    </row>
    <row r="125" ht="18" customHeight="1">
      <c r="A125" s="5">
        <f>?utf-8?B?2YXYrdmF2K8g2KfZhNi52YbYstmK?= &lt;malenezi6d6@gmail.com&gt;</f>
        <v/>
      </c>
      <c r="B125" s="6" t="inlineStr">
        <is>
          <t>malenezi6d6@gmail.com</t>
        </is>
      </c>
      <c r="C125" s="5" t="inlineStr"/>
      <c r="D125" s="5" t="inlineStr">
        <is>
          <t>Hello! How can we help you?  ابي احذف الاسم   Report محمد ثواب القزم- : 55288661   ‫أُرسلت من الـ iPhone‬</t>
        </is>
      </c>
      <c r="E125" s="7" t="inlineStr">
        <is>
          <t>55288661</t>
        </is>
      </c>
      <c r="F125" s="5" t="inlineStr">
        <is>
          <t>محمد ثواب القزم-</t>
        </is>
      </c>
      <c r="G125" s="7" t="inlineStr">
        <is>
          <t>55288661</t>
        </is>
      </c>
    </row>
    <row r="126" ht="18" customHeight="1">
      <c r="A126" s="2" t="inlineStr">
        <is>
          <t>hadeel ahmad &lt;hadooola_9991@icloud.com&gt;</t>
        </is>
      </c>
      <c r="B126" s="3" t="inlineStr">
        <is>
          <t>hadooola_9991@icloud.com</t>
        </is>
      </c>
      <c r="C126" s="2">
        <f>?utf-8?B?INi02YrZhNmIINin2YTYp9iz2YUg2YXYs9it2Ygg?=</f>
        <v/>
      </c>
      <c r="D126" s="2" t="inlineStr">
        <is>
          <t>Hello! How can we help you?  Report ي قطط : 51106022  شيلو الاسم مسحو Sent from my iPhone</t>
        </is>
      </c>
      <c r="E126" s="4" t="inlineStr">
        <is>
          <t>51106022</t>
        </is>
      </c>
      <c r="F126" s="2" t="inlineStr">
        <is>
          <t>ي قطط</t>
        </is>
      </c>
      <c r="G126" s="4" t="inlineStr">
        <is>
          <t>51106022</t>
        </is>
      </c>
    </row>
    <row r="127" ht="18" customHeight="1">
      <c r="A127" s="5" t="inlineStr">
        <is>
          <t>abdulaziz husainan &lt;azizan777@outlook.com&gt;</t>
        </is>
      </c>
      <c r="B127" s="6" t="inlineStr">
        <is>
          <t>azizan777@outlook.com</t>
        </is>
      </c>
      <c r="C127" s="5" t="inlineStr">
        <is>
          <t>This name is not correct; the correct one is Abdulaziz Alhusainan</t>
        </is>
      </c>
      <c r="D127" s="5" t="inlineStr">
        <is>
          <t xml:space="preserve">Hello! How can we help you?  Report ابراهيم نت- : 66142474  This name is not correct; the correct one is Abdulaziz Alhusainan  ‫أُرسلت من الـ iPhone‬ </t>
        </is>
      </c>
      <c r="E127" s="7" t="inlineStr">
        <is>
          <t>66142474</t>
        </is>
      </c>
      <c r="F127" s="5" t="inlineStr">
        <is>
          <t>ابراهيم نت-</t>
        </is>
      </c>
      <c r="G127" s="7" t="inlineStr">
        <is>
          <t>66142474</t>
        </is>
      </c>
    </row>
    <row r="128" ht="18" customHeight="1">
      <c r="A128" s="2" t="inlineStr">
        <is>
          <t>abdulaziz husainan &lt;azizan777@outlook.com&gt;</t>
        </is>
      </c>
      <c r="B128" s="3" t="inlineStr">
        <is>
          <t>azizan777@outlook.com</t>
        </is>
      </c>
      <c r="C128" s="2" t="inlineStr">
        <is>
          <t>This name is not correct; the correct one is Abdulaziz Alhusainan</t>
        </is>
      </c>
      <c r="D128" s="2" t="inlineStr">
        <is>
          <t xml:space="preserve">Hello! How can we help you?  Report -ابوزياد : 66142474  This name is not correct; the correct one is Abdulaziz Alhusainan  ‫أُرسلت من الـ iPhone‬ </t>
        </is>
      </c>
      <c r="E128" s="4" t="inlineStr">
        <is>
          <t>66142474</t>
        </is>
      </c>
      <c r="F128" s="2" t="inlineStr">
        <is>
          <t>-ابوزياد</t>
        </is>
      </c>
      <c r="G128" s="4" t="inlineStr">
        <is>
          <t>66142474</t>
        </is>
      </c>
    </row>
    <row r="129" ht="18" customHeight="1">
      <c r="A129" s="5" t="inlineStr">
        <is>
          <t>abdulaziz husainan &lt;azizan777@outlook.com&gt;</t>
        </is>
      </c>
      <c r="B129" s="6" t="inlineStr">
        <is>
          <t>azizan777@outlook.com</t>
        </is>
      </c>
      <c r="C129" s="5" t="inlineStr">
        <is>
          <t>This name is not correct; the correct one is Abdulaziz Alhusainan</t>
        </is>
      </c>
      <c r="D129" s="5" t="inlineStr">
        <is>
          <t xml:space="preserve">Hello! How can we help you?  Report أبراهيم الغانم- : 66142474  This name is not correct; the correct one is Abdulaziz Alhusainan  ‫أُرسلت من الـ iPhone‬ </t>
        </is>
      </c>
      <c r="E129" s="7" t="inlineStr">
        <is>
          <t>66142474</t>
        </is>
      </c>
      <c r="F129" s="5" t="inlineStr">
        <is>
          <t>أبراهيم الغانم-</t>
        </is>
      </c>
      <c r="G129" s="7" t="inlineStr">
        <is>
          <t>66142474</t>
        </is>
      </c>
    </row>
    <row r="130" ht="18" customHeight="1">
      <c r="A130" s="2" t="inlineStr">
        <is>
          <t>abdulaziz husainan &lt;azizan777@outlook.com&gt;</t>
        </is>
      </c>
      <c r="B130" s="3" t="inlineStr">
        <is>
          <t>azizan777@outlook.com</t>
        </is>
      </c>
      <c r="C130" s="2" t="inlineStr"/>
      <c r="D130" s="2" t="inlineStr">
        <is>
          <t xml:space="preserve">Hello! How can we help you?   This name is not correct; the correct one is Abdulaziz Alhusainan   Report مرح كويت- : 66142474  ‫أُرسلت من الـ iPhone‬ </t>
        </is>
      </c>
      <c r="E130" s="4" t="inlineStr">
        <is>
          <t>66142474</t>
        </is>
      </c>
      <c r="F130" s="2" t="inlineStr">
        <is>
          <t>مرح كويت-</t>
        </is>
      </c>
      <c r="G130" s="4" t="inlineStr">
        <is>
          <t>66142474</t>
        </is>
      </c>
    </row>
    <row r="131" ht="18" customHeight="1">
      <c r="A131" s="5" t="inlineStr">
        <is>
          <t>saad aldousari &lt;s-m-ald@hotmail.com&gt;</t>
        </is>
      </c>
      <c r="B131" s="6" t="inlineStr">
        <is>
          <t>s-m-ald@hotmail.com</t>
        </is>
      </c>
      <c r="C131" s="5">
        <f>?utf-8?B?2KrYtNmI2YrZhw==?=</f>
        <v/>
      </c>
      <c r="D131" s="5" t="inlineStr">
        <is>
          <t xml:space="preserve">Hello! How can we help you?  Report علي : 94777750  ‫أُرسلت من الـ iPhone‬ </t>
        </is>
      </c>
      <c r="E131" s="7" t="inlineStr">
        <is>
          <t>94777750</t>
        </is>
      </c>
      <c r="F131" s="5" t="inlineStr">
        <is>
          <t>علي</t>
        </is>
      </c>
      <c r="G131" s="7" t="inlineStr">
        <is>
          <t>94777750</t>
        </is>
      </c>
    </row>
    <row r="132" ht="18" customHeight="1">
      <c r="A132" s="2" t="inlineStr">
        <is>
          <t>saad aldousari &lt;s-m-ald@hotmail.com&gt;</t>
        </is>
      </c>
      <c r="B132" s="3" t="inlineStr">
        <is>
          <t>s-m-ald@hotmail.com</t>
        </is>
      </c>
      <c r="C132" s="2">
        <f>?utf-8?B?2KrYtNmI2YrZhyA=?=</f>
        <v/>
      </c>
      <c r="D132" s="2" t="inlineStr">
        <is>
          <t xml:space="preserve">Hello! How can we help you?  Report علي نايف الفضلي : 94777750  ‫أُرسلت من الـ iPhone‬ </t>
        </is>
      </c>
      <c r="E132" s="4" t="inlineStr">
        <is>
          <t>94777750</t>
        </is>
      </c>
      <c r="F132" s="2" t="inlineStr">
        <is>
          <t>علي نايف الفضلي</t>
        </is>
      </c>
      <c r="G132" s="4" t="inlineStr">
        <is>
          <t>94777750</t>
        </is>
      </c>
    </row>
    <row r="133" ht="18" customHeight="1">
      <c r="A133" s="5">
        <f>?utf-8?B?2LMg2KfZhNi52LHZiNis?= &lt;esehlii01@icloud.com&gt;</f>
        <v/>
      </c>
      <c r="B133" s="6" t="inlineStr">
        <is>
          <t>esehlii01@icloud.com</t>
        </is>
      </c>
      <c r="C133" s="5">
        <f>?utf-8?B?2KfZhNin2LPZhSDYutmK2LEg2YTYp9im2YI=?=</f>
        <v/>
      </c>
      <c r="D133" s="5" t="inlineStr">
        <is>
          <t>Hello! How can we help you?  Report المحزم الخربان : 65556310   ‫أُرسلت من الـ iPhone‬</t>
        </is>
      </c>
      <c r="E133" s="7" t="inlineStr">
        <is>
          <t>65556310</t>
        </is>
      </c>
      <c r="F133" s="5" t="inlineStr">
        <is>
          <t>المحزم الخربان</t>
        </is>
      </c>
      <c r="G133" s="7" t="inlineStr">
        <is>
          <t>65556310</t>
        </is>
      </c>
    </row>
    <row r="134" ht="18" customHeight="1">
      <c r="A134" s="2" t="inlineStr">
        <is>
          <t>israa amin &lt;israa1612@yahoo.com&gt;</t>
        </is>
      </c>
      <c r="B134" s="3" t="inlineStr">
        <is>
          <t>israa1612@yahoo.com</t>
        </is>
      </c>
      <c r="C134" s="2" t="inlineStr"/>
      <c r="D134" s="2" t="inlineStr">
        <is>
          <t>Hello! How can we help you?  Report اسراءو اللايثه- : 65889385  Hello please remove this name it’s bad world Sent from my iPhone</t>
        </is>
      </c>
      <c r="E134" s="4" t="inlineStr">
        <is>
          <t>65889385</t>
        </is>
      </c>
      <c r="F134" s="2" t="inlineStr">
        <is>
          <t>اسراءو اللايثه-</t>
        </is>
      </c>
      <c r="G134" s="4" t="inlineStr">
        <is>
          <t>65889385</t>
        </is>
      </c>
    </row>
    <row r="135" ht="18" customHeight="1">
      <c r="A135" s="5" t="inlineStr">
        <is>
          <t>Abdelwahab Alenezi &lt;AmAq8ty@outlook.com&gt;</t>
        </is>
      </c>
      <c r="B135" s="6" t="inlineStr">
        <is>
          <t>AmAq8ty@outlook.com</t>
        </is>
      </c>
      <c r="C135" s="5">
        <f>?utf-8?B?2KfYs9mFINi62YrYsSDZhNin2KbZgiDYqtmFINiq2LPYrNmK2YTZiiDYqNij?=  =?utf-8?B?2LPZhSDZhdi32YTZiNioIA==?=</f>
        <v/>
      </c>
      <c r="D135" s="5" t="inlineStr">
        <is>
          <t xml:space="preserve">Hello! How can we help you?  Report مطلوب- : 97780903  ‫أُرسلت من الـ iPhone‬ </t>
        </is>
      </c>
      <c r="E135" s="7" t="inlineStr">
        <is>
          <t>97780903</t>
        </is>
      </c>
      <c r="F135" s="5" t="inlineStr">
        <is>
          <t>مطلوب-</t>
        </is>
      </c>
      <c r="G135" s="7" t="inlineStr">
        <is>
          <t>97780903</t>
        </is>
      </c>
    </row>
    <row r="136" ht="18" customHeight="1">
      <c r="A136" s="2" t="inlineStr">
        <is>
          <t>Mohammed Alazmi &lt;zm7md09@icloud.com&gt;</t>
        </is>
      </c>
      <c r="B136" s="3" t="inlineStr">
        <is>
          <t>zm7md09@icloud.com</t>
        </is>
      </c>
      <c r="C136" s="2">
        <f>?utf-8?B?2LnZhtmI2KfZhiDYqNmK2KrZiiDZiNin2KjZiiDYp9it2LDZgdmH?=</f>
        <v/>
      </c>
      <c r="D136" s="2" t="inlineStr">
        <is>
          <t>Hello! How can we help you?  Report ق7ش12م46 : 56610662   ‫أُرسلت من الـ iPhone‬</t>
        </is>
      </c>
      <c r="E136" s="4" t="inlineStr">
        <is>
          <t>56610662</t>
        </is>
      </c>
      <c r="F136" s="2" t="inlineStr">
        <is>
          <t>ق7ش12م46</t>
        </is>
      </c>
      <c r="G136" s="4" t="inlineStr">
        <is>
          <t>56610662</t>
        </is>
      </c>
    </row>
    <row r="137" ht="18" customHeight="1">
      <c r="A137" s="5" t="inlineStr">
        <is>
          <t>"aljluwi .3" &lt;kuwaitvip550@gmail.com&gt;</t>
        </is>
      </c>
      <c r="B137" s="6" t="inlineStr">
        <is>
          <t>kuwaitvip550@gmail.com</t>
        </is>
      </c>
      <c r="C137" s="5">
        <f>?utf-8?B?2KfZhNix2KzYp9ihINit2LDZgSDZh9iw2Kcg2KfZhNin2LPZhSA=?=</f>
        <v/>
      </c>
      <c r="D137" s="5" t="inlineStr">
        <is>
          <t>Hello! How can we help you?  Report عبدالله فهد الجلوي ولد حسنه : 60625905   ‫أُرسلت من الـ iPhone‬</t>
        </is>
      </c>
      <c r="E137" s="7" t="inlineStr">
        <is>
          <t>60625905</t>
        </is>
      </c>
      <c r="F137" s="5" t="inlineStr">
        <is>
          <t>عبدالله فهد الجلوي ولد حسنه</t>
        </is>
      </c>
      <c r="G137" s="7" t="inlineStr">
        <is>
          <t>60625905</t>
        </is>
      </c>
    </row>
    <row r="138" ht="18" customHeight="1">
      <c r="A138" s="2" t="inlineStr">
        <is>
          <t>Reem Alhazzaa &lt;reemalhazza@icloud.com&gt;</t>
        </is>
      </c>
      <c r="B138" s="3" t="inlineStr">
        <is>
          <t>reemalhazza@icloud.com</t>
        </is>
      </c>
      <c r="C138" s="2" t="inlineStr"/>
      <c r="D138" s="2" t="inlineStr">
        <is>
          <t>Hello! How can we help you?  Report بتزا قيصر السالمية : 66757526   Sent from my iPhone</t>
        </is>
      </c>
      <c r="E138" s="4" t="inlineStr">
        <is>
          <t>66757526</t>
        </is>
      </c>
      <c r="F138" s="2" t="inlineStr">
        <is>
          <t>بتزا قيصر السالمية</t>
        </is>
      </c>
      <c r="G138" s="4" t="inlineStr">
        <is>
          <t>66757526</t>
        </is>
      </c>
    </row>
    <row r="139" ht="18" customHeight="1">
      <c r="A139" s="5" t="inlineStr">
        <is>
          <t>Ali Alqallaf &lt;aalqallaf271@gmail.com&gt;</t>
        </is>
      </c>
      <c r="B139" s="6" t="inlineStr">
        <is>
          <t>aalqallaf271@gmail.com</t>
        </is>
      </c>
      <c r="C139" s="5" t="inlineStr"/>
      <c r="D139" s="5" t="inlineStr">
        <is>
          <t>Hello! How can we help you?  Report الزهراء قطعه 5 شارع 501 منزل 25 الدور الثاني : 50003113   Sent from my iPhone</t>
        </is>
      </c>
      <c r="E139" s="7" t="inlineStr">
        <is>
          <t>50003113</t>
        </is>
      </c>
      <c r="F139" s="5" t="inlineStr">
        <is>
          <t>الزهراء قطعه 5 شارع 501 منزل 25 الدور الثاني</t>
        </is>
      </c>
      <c r="G139" s="7" t="inlineStr">
        <is>
          <t>50003113</t>
        </is>
      </c>
    </row>
    <row r="140" ht="18" customHeight="1">
      <c r="A140" s="2" t="inlineStr">
        <is>
          <t>M A &lt;m7md855@icloud.com&gt;</t>
        </is>
      </c>
      <c r="B140" s="3" t="inlineStr">
        <is>
          <t>m7md855@icloud.com</t>
        </is>
      </c>
      <c r="C140" s="2">
        <f>?utf-8?B?UmU6INin2LHYrNmIINit2LDZgSDYrNmF2YrYuSDYp9mE2KfYs9mF?=  =?utf-8?B?2KfYoSDZiNin2YTYp9ix2YLYp9mFINiq2YPYsdmF2Kc=?=</f>
        <v/>
      </c>
      <c r="D140" s="2" t="inlineStr">
        <is>
          <t xml:space="preserve">حذف اسم ورقم  &gt; ‫في 23‏/10‏/2025 الساعة 16:49، كتب/كتبت ‏M A ‏&lt;m7md855@icloud.com&gt;:‬ &gt;  &gt; ﻿ &gt; Hello! How can we help you? &gt;  &gt;  &gt;  &gt; ارجو حذف جميع الاسماء والارقام تكرما &gt;  &gt;  &gt;  &gt; Report عبدالله محمد طحوس- : 55558483 &gt;  </t>
        </is>
      </c>
      <c r="E140" s="4" t="inlineStr">
        <is>
          <t>55558483</t>
        </is>
      </c>
      <c r="F140" s="2" t="inlineStr">
        <is>
          <t>عبدالله محمد طحوس-</t>
        </is>
      </c>
      <c r="G140" s="4" t="inlineStr">
        <is>
          <t>55558483</t>
        </is>
      </c>
    </row>
    <row r="141" ht="18" customHeight="1">
      <c r="A141" s="5" t="inlineStr">
        <is>
          <t>salim kuwait &lt;salimkuwait009@gmail.com&gt;</t>
        </is>
      </c>
      <c r="B141" s="6" t="inlineStr">
        <is>
          <t>salimkuwait009@gmail.com</t>
        </is>
      </c>
      <c r="C141" s="5" t="inlineStr">
        <is>
          <t>Not good</t>
        </is>
      </c>
      <c r="D141" s="5" t="inlineStr">
        <is>
          <t>Hello! How can we help you?  Report سالم عبدالله الملعبي- : 51494973   ‫أُرسلت من الـ iPhone‬</t>
        </is>
      </c>
      <c r="E141" s="7" t="inlineStr">
        <is>
          <t>51494973</t>
        </is>
      </c>
      <c r="F141" s="5" t="inlineStr">
        <is>
          <t>سالم عبدالله الملعبي-</t>
        </is>
      </c>
      <c r="G141" s="7" t="inlineStr">
        <is>
          <t>51494973</t>
        </is>
      </c>
    </row>
    <row r="142" ht="18" customHeight="1">
      <c r="A142" s="2" t="inlineStr">
        <is>
          <t>salim kuwait &lt;salimkuwait009@gmail.com&gt;</t>
        </is>
      </c>
      <c r="B142" s="3" t="inlineStr">
        <is>
          <t>salimkuwait009@gmail.com</t>
        </is>
      </c>
      <c r="C142" s="2" t="inlineStr">
        <is>
          <t>Not good</t>
        </is>
      </c>
      <c r="D142" s="2" t="inlineStr">
        <is>
          <t>Hello! How can we help you?  Report سالم عبدالله الملعبي- : 51494973   ‫أُرسلت من الـ iPhone‬</t>
        </is>
      </c>
      <c r="E142" s="4" t="inlineStr">
        <is>
          <t>51494973</t>
        </is>
      </c>
      <c r="F142" s="2" t="inlineStr">
        <is>
          <t>سالم عبدالله الملعبي-</t>
        </is>
      </c>
      <c r="G142" s="4" t="inlineStr">
        <is>
          <t>51494973</t>
        </is>
      </c>
    </row>
    <row r="143" ht="18" customHeight="1">
      <c r="A143" s="5" t="inlineStr">
        <is>
          <t>Sara kb &lt;sarouch.197@hotmail.com&gt;</t>
        </is>
      </c>
      <c r="B143" s="6" t="inlineStr">
        <is>
          <t>sarouch.197@hotmail.com</t>
        </is>
      </c>
      <c r="C143" s="5" t="inlineStr"/>
      <c r="D143" s="5" t="inlineStr">
        <is>
          <t xml:space="preserve">Hello! How can we help you?  Report ساره مابعرف مين : 67000540  Sent from my iPhone </t>
        </is>
      </c>
      <c r="E143" s="7" t="inlineStr">
        <is>
          <t>67000540</t>
        </is>
      </c>
      <c r="F143" s="5" t="inlineStr">
        <is>
          <t>ساره مابعرف مين</t>
        </is>
      </c>
      <c r="G143" s="7" t="inlineStr">
        <is>
          <t>67000540</t>
        </is>
      </c>
    </row>
    <row r="144" ht="18" customHeight="1">
      <c r="A144" s="2" t="inlineStr">
        <is>
          <t>sager alsager &lt;sager123123@live.com&gt;</t>
        </is>
      </c>
      <c r="B144" s="3" t="inlineStr">
        <is>
          <t>sager123123@live.com</t>
        </is>
      </c>
      <c r="C144" s="2" t="inlineStr"/>
      <c r="D144" s="2" t="inlineStr">
        <is>
          <t xml:space="preserve">Hello! How can we help you?  Report جود الصقر : 60069711  Sent from my iPhone </t>
        </is>
      </c>
      <c r="E144" s="4" t="inlineStr">
        <is>
          <t>60069711</t>
        </is>
      </c>
      <c r="F144" s="2" t="inlineStr">
        <is>
          <t>جود الصقر</t>
        </is>
      </c>
      <c r="G144" s="4" t="inlineStr">
        <is>
          <t>60069711</t>
        </is>
      </c>
    </row>
    <row r="145" ht="18" customHeight="1">
      <c r="A145" s="5" t="inlineStr">
        <is>
          <t>sager alsager &lt;sager123123@live.com&gt;</t>
        </is>
      </c>
      <c r="B145" s="6" t="inlineStr">
        <is>
          <t>sager123123@live.com</t>
        </is>
      </c>
      <c r="C145" s="5" t="inlineStr"/>
      <c r="D145" s="5" t="inlineStr">
        <is>
          <t xml:space="preserve">Hello! How can we help you?  Report Kaka-Ali : 60069711  Sent from my iPhone </t>
        </is>
      </c>
      <c r="E145" s="7" t="inlineStr">
        <is>
          <t>60069711</t>
        </is>
      </c>
      <c r="F145" s="5" t="inlineStr">
        <is>
          <t>Kaka-Ali</t>
        </is>
      </c>
      <c r="G145" s="7" t="inlineStr">
        <is>
          <t>60069711</t>
        </is>
      </c>
    </row>
    <row r="146" ht="18" customHeight="1">
      <c r="A146" s="2">
        <f>?utf-8?B?2YXYrdmF2K8g2KfZhNmE2YXZiti5?= &lt;m7amad.almee@hotmail.com&gt;</f>
        <v/>
      </c>
      <c r="B146" s="3" t="inlineStr">
        <is>
          <t>m7amad.almee@hotmail.com</t>
        </is>
      </c>
      <c r="C146" s="2">
        <f>?utf-8?B?2K3YsNmBINin2YTYp9iz2YUg2YfYsNinINmF2YYg2KfZhNio2LHZhtin2YU=?=  =?utf-8?B?2Kwg?=</f>
        <v/>
      </c>
      <c r="D146" s="2" t="inlineStr">
        <is>
          <t xml:space="preserve">Hello! How can we help you?  Report العبد بو ابرار- : 97466999  ‫أُرسلت من الـ iPhone‬ </t>
        </is>
      </c>
      <c r="E146" s="4" t="inlineStr">
        <is>
          <t>97466999</t>
        </is>
      </c>
      <c r="F146" s="2" t="inlineStr">
        <is>
          <t>العبد بو ابرار-</t>
        </is>
      </c>
      <c r="G146" s="4" t="inlineStr">
        <is>
          <t>97466999</t>
        </is>
      </c>
    </row>
    <row r="147" ht="18" customHeight="1">
      <c r="A147" s="5" t="inlineStr">
        <is>
          <t>A B &lt;mie7ahmad@gmail.com&gt;</t>
        </is>
      </c>
      <c r="B147" s="6" t="inlineStr">
        <is>
          <t>mie7ahmad@gmail.com</t>
        </is>
      </c>
      <c r="C147" s="5" t="inlineStr"/>
      <c r="D147" s="5" t="inlineStr">
        <is>
          <t>Hello! How can we help you?  Report سنفورره بنت وايل : 66642666   ‫أُرسلت من الـ iPhone‬</t>
        </is>
      </c>
      <c r="E147" s="7" t="inlineStr">
        <is>
          <t>66642666</t>
        </is>
      </c>
      <c r="F147" s="5" t="inlineStr">
        <is>
          <t>سنفورره بنت وايل</t>
        </is>
      </c>
      <c r="G147" s="7" t="inlineStr">
        <is>
          <t>66642666</t>
        </is>
      </c>
    </row>
    <row r="148" ht="18" customHeight="1">
      <c r="A148" s="2" t="inlineStr">
        <is>
          <t>Dana Shamiri &lt;dfs.30@icloud.com&gt;</t>
        </is>
      </c>
      <c r="B148" s="3" t="inlineStr">
        <is>
          <t>dfs.30@icloud.com</t>
        </is>
      </c>
      <c r="C148" s="2">
        <f>?utf-8?B?2YPZhNin2YUg2KjYsNmK2KEg?=</f>
        <v/>
      </c>
      <c r="D148" s="2" t="inlineStr">
        <is>
          <t>Hello! How can we help you?  Report دانه شفط 17583 : 66257662    ‫أُرسلت من الـ iPhone‬</t>
        </is>
      </c>
      <c r="E148" s="4" t="inlineStr">
        <is>
          <t>66257662</t>
        </is>
      </c>
      <c r="F148" s="2" t="inlineStr">
        <is>
          <t>دانه شفط 17583</t>
        </is>
      </c>
      <c r="G148" s="4" t="inlineStr">
        <is>
          <t>66257662</t>
        </is>
      </c>
    </row>
    <row r="149" ht="18" customHeight="1">
      <c r="A149" s="5" t="inlineStr">
        <is>
          <t>abdulwahab alfarhan &lt;a.s.alfarhan@icloud.com&gt;</t>
        </is>
      </c>
      <c r="B149" s="6" t="inlineStr">
        <is>
          <t>a.s.alfarhan@icloud.com</t>
        </is>
      </c>
      <c r="C149" s="5">
        <f>?utf-8?B?2KfYstin2YTYqSDYp9mE2KfYs9mF?=</f>
        <v/>
      </c>
      <c r="D149" s="5" t="inlineStr">
        <is>
          <t>Hello! How can we help you?  Report alkharaaaaa : 97897858   Sent from my iPhone</t>
        </is>
      </c>
      <c r="E149" s="7" t="inlineStr">
        <is>
          <t>97897858</t>
        </is>
      </c>
      <c r="F149" s="5" t="inlineStr">
        <is>
          <t>alkharaaaaa</t>
        </is>
      </c>
      <c r="G149" s="7" t="inlineStr">
        <is>
          <t>97897858</t>
        </is>
      </c>
    </row>
    <row r="150" ht="18" customHeight="1">
      <c r="A150" s="2" t="inlineStr">
        <is>
          <t>asd asd &lt;hamood198611@hotmail.com&gt;</t>
        </is>
      </c>
      <c r="B150" s="3" t="inlineStr">
        <is>
          <t>hamood198611@hotmail.com</t>
        </is>
      </c>
      <c r="C150" s="2" t="inlineStr">
        <is>
          <t>He put our house address</t>
        </is>
      </c>
      <c r="D150" s="2" t="inlineStr">
        <is>
          <t xml:space="preserve">Hello! How can we help you?  Report حمود الصليبيه- : 66003668  ‫أُرسلت من الـ iPhone‬ </t>
        </is>
      </c>
      <c r="E150" s="4" t="inlineStr">
        <is>
          <t>66003668</t>
        </is>
      </c>
      <c r="F150" s="2" t="inlineStr">
        <is>
          <t>حمود الصليبيه-</t>
        </is>
      </c>
      <c r="G150" s="4" t="inlineStr">
        <is>
          <t>66003668</t>
        </is>
      </c>
    </row>
    <row r="151" ht="18" customHeight="1">
      <c r="A151" s="5" t="inlineStr">
        <is>
          <t>nashmiah Kuwait &lt;nashmiah93@hotmail.com&gt;</t>
        </is>
      </c>
      <c r="B151" s="6" t="inlineStr">
        <is>
          <t>nashmiah93@hotmail.com</t>
        </is>
      </c>
      <c r="C151" s="5" t="inlineStr"/>
      <c r="D151" s="5" t="inlineStr">
        <is>
          <t xml:space="preserve">Hello! How can we help you?  Report نشمية ام خماس : 90033351  Sent from my iPhone </t>
        </is>
      </c>
      <c r="E151" s="7" t="inlineStr">
        <is>
          <t>90033351</t>
        </is>
      </c>
      <c r="F151" s="5" t="inlineStr">
        <is>
          <t>نشمية ام خماس</t>
        </is>
      </c>
      <c r="G151" s="7" t="inlineStr">
        <is>
          <t>90033351</t>
        </is>
      </c>
    </row>
    <row r="152" ht="18" customHeight="1">
      <c r="A152" s="2">
        <f>?utf-8?B?2YHZh9mK2K8g2KfZhNit2KzYsdmB?= &lt;fheedalhajraf1995@icloud.com&gt;</f>
        <v/>
      </c>
      <c r="B152" s="3" t="inlineStr">
        <is>
          <t>fheedalhajraf1995@icloud.com</t>
        </is>
      </c>
      <c r="C152" s="2">
        <f>?utf-8?B?2LPYqNin2YU=?=</f>
        <v/>
      </c>
      <c r="D152" s="2" t="inlineStr">
        <is>
          <t>Hello! How can we help you?  Report سارة منقبه العجمي : 50908988   ‫أُرسلت من الـ iPhone‬</t>
        </is>
      </c>
      <c r="E152" s="4" t="inlineStr">
        <is>
          <t>50908988</t>
        </is>
      </c>
      <c r="F152" s="2" t="inlineStr">
        <is>
          <t>سارة منقبه العجمي</t>
        </is>
      </c>
      <c r="G152" s="4" t="inlineStr">
        <is>
          <t>50908988</t>
        </is>
      </c>
    </row>
    <row r="153" ht="18" customHeight="1">
      <c r="A153" s="5">
        <f>?utf-8?B?2YHZh9mK2K8g2KfZhNit2KzYsdmB?= &lt;fheedalhajraf1995@icloud.com&gt;</f>
        <v/>
      </c>
      <c r="B153" s="6" t="inlineStr">
        <is>
          <t>fheedalhajraf1995@icloud.com</t>
        </is>
      </c>
      <c r="C153" s="5" t="inlineStr"/>
      <c r="D153" s="5" t="inlineStr">
        <is>
          <t>Hello! How can we help you?  Report سارة منقبه العجمي : 50908988   ‫أُرسلت من الـ iPhone‬</t>
        </is>
      </c>
      <c r="E153" s="7" t="inlineStr">
        <is>
          <t>50908988</t>
        </is>
      </c>
      <c r="F153" s="5" t="inlineStr">
        <is>
          <t>سارة منقبه العجمي</t>
        </is>
      </c>
      <c r="G153" s="7" t="inlineStr">
        <is>
          <t>50908988</t>
        </is>
      </c>
    </row>
    <row r="154" ht="18" customHeight="1">
      <c r="A154" s="2" t="inlineStr">
        <is>
          <t>Fahad City &lt;fcity3@icloud.com&gt;</t>
        </is>
      </c>
      <c r="B154" s="3" t="inlineStr">
        <is>
          <t>fcity3@icloud.com</t>
        </is>
      </c>
      <c r="C154" s="2">
        <f>?utf-8?B?2KfYrtmB2KfYoSDYp9mE2LnZhtmI2KfZhg==?=</f>
        <v/>
      </c>
      <c r="D154" s="2" t="inlineStr">
        <is>
          <t>Hello! How can we help you?  Report زبون الصباحيه ق3 ش 10 م 185-جادور وكارلند ادول : 55855809   ‫أُرسلت من الـ iPhone‬</t>
        </is>
      </c>
      <c r="E154" s="4" t="inlineStr">
        <is>
          <t>55855809</t>
        </is>
      </c>
      <c r="F154" s="2" t="inlineStr">
        <is>
          <t>زبون الصباحيه ق3 ش 10 م 185-جادور وكارلند ادول</t>
        </is>
      </c>
      <c r="G154" s="4" t="inlineStr">
        <is>
          <t>55855809</t>
        </is>
      </c>
    </row>
    <row r="155" ht="18" customHeight="1">
      <c r="A155" s="5" t="inlineStr">
        <is>
          <t>Fahad City &lt;fcity3@icloud.com&gt;</t>
        </is>
      </c>
      <c r="B155" s="6" t="inlineStr">
        <is>
          <t>fcity3@icloud.com</t>
        </is>
      </c>
      <c r="C155" s="5" t="inlineStr"/>
      <c r="D155" s="5" t="inlineStr">
        <is>
          <t>Hello! How can we help you?  Report زبون الصباحيه ق3 ش 10 م 185-جادور وكارلند ادول : 55855809   ‫أُرسلت من الـ iPhone‬</t>
        </is>
      </c>
      <c r="E155" s="7" t="inlineStr">
        <is>
          <t>55855809</t>
        </is>
      </c>
      <c r="F155" s="5" t="inlineStr">
        <is>
          <t>زبون الصباحيه ق3 ش 10 م 185-جادور وكارلند ادول</t>
        </is>
      </c>
      <c r="G155" s="7" t="inlineStr">
        <is>
          <t>55855809</t>
        </is>
      </c>
    </row>
    <row r="156" ht="18" customHeight="1">
      <c r="A156" s="2">
        <f>?utf-8?B?2Kgg2KfZhNit2LHYqNmK?= &lt;bmhh0986@gmail.com&gt;</f>
        <v/>
      </c>
      <c r="B156" s="3" t="inlineStr">
        <is>
          <t>bmhh0986@gmail.com</t>
        </is>
      </c>
      <c r="C156" s="2">
        <f>?utf-8?B?2YLYsNmBINmI2LPYqA==?=</f>
        <v/>
      </c>
      <c r="D156" s="2" t="inlineStr">
        <is>
          <t>Hello! How can we help you?  Report عماد الرمه- : 55704445   ‫أُرسلت من الـ iPhone‬</t>
        </is>
      </c>
      <c r="E156" s="4" t="inlineStr">
        <is>
          <t>55704445</t>
        </is>
      </c>
      <c r="F156" s="2" t="inlineStr">
        <is>
          <t>عماد الرمه-</t>
        </is>
      </c>
      <c r="G156" s="4" t="inlineStr">
        <is>
          <t>55704445</t>
        </is>
      </c>
    </row>
    <row r="157" ht="18" customHeight="1">
      <c r="A157" s="5">
        <f>?utf-8?B?2Kgg2KfZhNit2LHYqNmK?= &lt;bmhh0986@gmail.com&gt;</f>
        <v/>
      </c>
      <c r="B157" s="6" t="inlineStr">
        <is>
          <t>bmhh0986@gmail.com</t>
        </is>
      </c>
      <c r="C157" s="5" t="inlineStr"/>
      <c r="D157" s="5" t="inlineStr">
        <is>
          <t>Hello! How can we help you?  Report عماد الرمه- : 55704445   ‫أُرسلت من الـ iPhone‬</t>
        </is>
      </c>
      <c r="E157" s="7" t="inlineStr">
        <is>
          <t>55704445</t>
        </is>
      </c>
      <c r="F157" s="5" t="inlineStr">
        <is>
          <t>عماد الرمه-</t>
        </is>
      </c>
      <c r="G157" s="7" t="inlineStr">
        <is>
          <t>55704445</t>
        </is>
      </c>
    </row>
    <row r="158" ht="18" customHeight="1">
      <c r="A158" s="2" t="inlineStr">
        <is>
          <t>Farraj Alajmii &lt;farrajalajmii@gmail.com&gt;</t>
        </is>
      </c>
      <c r="B158" s="3" t="inlineStr">
        <is>
          <t>farrajalajmii@gmail.com</t>
        </is>
      </c>
      <c r="C158" s="2" t="inlineStr">
        <is>
          <t xml:space="preserve">Re: </t>
        </is>
      </c>
      <c r="D158" s="2" t="inlineStr">
        <is>
          <t xml:space="preserve">اريد خذف هذا الاسم ‫أُرسلت من الـ iPhone‬  &gt; ‫في 21‏/10‏/2025 الساعة 8:18 ص، كتب/كتبت ‏Farraj Alajmii ‏&lt;farrajalajmii@gmail.com&gt;:‬ &gt;  &gt; ﻿ &gt; Hello! How can we help you? &gt;  &gt; Report الحب الاول والاخي : 52555845 &gt;  &gt;  &gt; ‫أُرسلت من الـ iPhone‬ </t>
        </is>
      </c>
      <c r="E158" s="4" t="inlineStr">
        <is>
          <t>52555845</t>
        </is>
      </c>
      <c r="F158" s="2" t="inlineStr">
        <is>
          <t>الحب الاول والاخي</t>
        </is>
      </c>
      <c r="G158" s="4" t="inlineStr">
        <is>
          <t>52555845</t>
        </is>
      </c>
    </row>
    <row r="159" ht="18" customHeight="1">
      <c r="A159" s="5" t="inlineStr">
        <is>
          <t>hmz hmzhm &lt;hanadymatrood94@gmail.com&gt;</t>
        </is>
      </c>
      <c r="B159" s="6" t="inlineStr">
        <is>
          <t>hanadymatrood94@gmail.com</t>
        </is>
      </c>
      <c r="C159" s="5">
        <f>?utf-8?B?2KfZhNiz2YTYp9mFINi52YTZitmD2YUg2KfYsdis2YjYpyDZhdiz?=  =?utf-8?B?2K0g2YfYsNinINin2YTYp9iz2YUg2YXYsti52Kwg2KzYr9inIA==?=</f>
        <v/>
      </c>
      <c r="D159" s="5" t="inlineStr">
        <is>
          <t>Hello! How can we help you?  Report العيون ق2 ش2منزل 53 : 97249018   ‫أُرسلت من الـ iPhone‬</t>
        </is>
      </c>
      <c r="E159" s="7" t="inlineStr">
        <is>
          <t>97249018</t>
        </is>
      </c>
      <c r="F159" s="5" t="inlineStr">
        <is>
          <t>العيون ق2 ش2منزل 53</t>
        </is>
      </c>
      <c r="G159" s="7" t="inlineStr">
        <is>
          <t>97249018</t>
        </is>
      </c>
    </row>
    <row r="160" ht="18" customHeight="1">
      <c r="A160" s="2" t="inlineStr">
        <is>
          <t>Noor Al_shatti &lt;noooor.al.shattii@icloud.com&gt;</t>
        </is>
      </c>
      <c r="B160" s="3" t="inlineStr">
        <is>
          <t>noooor.al.shattii@icloud.com</t>
        </is>
      </c>
      <c r="C160" s="2" t="inlineStr"/>
      <c r="D160" s="2" t="inlineStr">
        <is>
          <t>Hello! How can we help you?  Report حبيبة وليد : 94945880   أُرسلت من الـ iPhone</t>
        </is>
      </c>
      <c r="E160" s="4" t="inlineStr">
        <is>
          <t>94945880</t>
        </is>
      </c>
      <c r="F160" s="2" t="inlineStr">
        <is>
          <t>حبيبة وليد</t>
        </is>
      </c>
      <c r="G160" s="4" t="inlineStr">
        <is>
          <t>94945880</t>
        </is>
      </c>
    </row>
    <row r="161" ht="18" customHeight="1">
      <c r="A161" s="5" t="inlineStr">
        <is>
          <t>Noor Al_shatti &lt;noooor.al.shattii@icloud.com&gt;</t>
        </is>
      </c>
      <c r="B161" s="6" t="inlineStr">
        <is>
          <t>noooor.al.shattii@icloud.com</t>
        </is>
      </c>
      <c r="C161" s="5" t="inlineStr"/>
      <c r="D161" s="5" t="inlineStr">
        <is>
          <t>Hello! How can we help you?  Report ب/شقة عاشرة ابوالحصانى : 92290787   أُرسلت من الـ iPhone</t>
        </is>
      </c>
      <c r="E161" s="7" t="inlineStr">
        <is>
          <t>92290787</t>
        </is>
      </c>
      <c r="F161" s="5" t="inlineStr">
        <is>
          <t>ب/شقة عاشرة ابوالحصانى</t>
        </is>
      </c>
      <c r="G161" s="7" t="inlineStr">
        <is>
          <t>92290787</t>
        </is>
      </c>
    </row>
    <row r="162" ht="18" customHeight="1">
      <c r="A162" s="2" t="inlineStr">
        <is>
          <t>Hessa Albannaq &lt;hessaalbannaq@gmail.com&gt;</t>
        </is>
      </c>
      <c r="B162" s="3" t="inlineStr">
        <is>
          <t>hessaalbannaq@gmail.com</t>
        </is>
      </c>
      <c r="C162" s="2" t="inlineStr">
        <is>
          <t xml:space="preserve">Re: </t>
        </is>
      </c>
      <c r="D162" s="2" t="inlineStr">
        <is>
          <t xml:space="preserve">How I can remove a bad name ?  Can you remove it from my number? ( Sx )  &gt; On 20 Oct 2025, at 8:16 PM, Hessa Albannaq &lt;hessaalbannaq@gmail.com&gt; wrote: &gt;  &gt; ﻿ &gt; Hello! How can we help you? &gt;  &gt; Report Sx : 51154321 &gt;  &gt; Please remove this name if possible!!  &gt;  &gt; ( Sx ) !  &gt;  &gt; I don’t know why would someone save my number like this  &gt;  </t>
        </is>
      </c>
      <c r="E162" s="4" t="inlineStr">
        <is>
          <t>51154321</t>
        </is>
      </c>
      <c r="F162" s="2" t="inlineStr">
        <is>
          <t>Sx</t>
        </is>
      </c>
      <c r="G162" s="4" t="inlineStr">
        <is>
          <t>51154321</t>
        </is>
      </c>
    </row>
    <row r="163" ht="18" customHeight="1">
      <c r="A163" s="5" t="inlineStr">
        <is>
          <t>KLOOD &lt;alazmie33@gmail.com&gt;</t>
        </is>
      </c>
      <c r="B163" s="6" t="inlineStr">
        <is>
          <t>alazmie33@gmail.com</t>
        </is>
      </c>
      <c r="C163" s="5" t="inlineStr">
        <is>
          <t>Please delete this name because it offends me (I am the owner of this number)</t>
        </is>
      </c>
      <c r="D163" s="5" t="inlineStr">
        <is>
          <t>Hello! How can we help you?  Report عبدالله مكوان : 96914156   ‫أُرسلت من الـ iPhone‬</t>
        </is>
      </c>
      <c r="E163" s="7" t="inlineStr">
        <is>
          <t>96914156</t>
        </is>
      </c>
      <c r="F163" s="5" t="inlineStr">
        <is>
          <t>عبدالله مكوان</t>
        </is>
      </c>
      <c r="G163" s="7" t="inlineStr">
        <is>
          <t>96914156</t>
        </is>
      </c>
    </row>
    <row r="164" ht="18" customHeight="1">
      <c r="A164" s="2" t="inlineStr">
        <is>
          <t>mariam88421@gmail.com</t>
        </is>
      </c>
      <c r="B164" s="3" t="inlineStr">
        <is>
          <t>mariam88421@gmail.com</t>
        </is>
      </c>
      <c r="C164" s="2" t="inlineStr">
        <is>
          <t>Please delete the comment because the full address is written</t>
        </is>
      </c>
      <c r="D164" s="2" t="inlineStr">
        <is>
          <t>Hello! How can we help you?  Report Street 9 Building 8908..7 Right Side Left Flat 9 : 50003070   ‫أُرسلت من الـ iPhone‬</t>
        </is>
      </c>
      <c r="E164" s="4" t="inlineStr">
        <is>
          <t>50003070</t>
        </is>
      </c>
      <c r="F164" s="2" t="inlineStr">
        <is>
          <t>Street 9 Building 8908..7 Right Side Left Flat 9</t>
        </is>
      </c>
      <c r="G164" s="4" t="inlineStr">
        <is>
          <t>50003070</t>
        </is>
      </c>
    </row>
    <row r="165" ht="18" customHeight="1">
      <c r="A165" s="5" t="inlineStr">
        <is>
          <t>M A &lt;m7md855@icloud.com&gt;</t>
        </is>
      </c>
      <c r="B165" s="6" t="inlineStr">
        <is>
          <t>m7md855@icloud.com</t>
        </is>
      </c>
      <c r="C165" s="5">
        <f>?utf-8?B?2K3YsNmBINin2LPZhSDZiNix2YLZhSDYqNmE2YrYsg==?=</f>
        <v/>
      </c>
      <c r="D165" s="5" t="inlineStr">
        <is>
          <t xml:space="preserve">Hello! How can we help you?  Report محمد : 66696261  </t>
        </is>
      </c>
      <c r="E165" s="7" t="inlineStr">
        <is>
          <t>66696261</t>
        </is>
      </c>
      <c r="F165" s="5" t="inlineStr">
        <is>
          <t>محمد</t>
        </is>
      </c>
      <c r="G165" s="7" t="inlineStr">
        <is>
          <t>66696261</t>
        </is>
      </c>
    </row>
    <row r="166" ht="18" customHeight="1">
      <c r="A166" s="2" t="inlineStr">
        <is>
          <t>Reem Alajmi &lt;reemalajmi722@gmail.com&gt;</t>
        </is>
      </c>
      <c r="B166" s="3" t="inlineStr">
        <is>
          <t>reemalajmi722@gmail.com</t>
        </is>
      </c>
      <c r="C166" s="2" t="inlineStr"/>
      <c r="D166" s="2" t="inlineStr">
        <is>
          <t>Hello! How can we help you?  Report سعد فيب : 62226118   Sent from my iPhone</t>
        </is>
      </c>
      <c r="E166" s="4" t="inlineStr">
        <is>
          <t>62226118</t>
        </is>
      </c>
      <c r="F166" s="2" t="inlineStr">
        <is>
          <t>سعد فيب</t>
        </is>
      </c>
      <c r="G166" s="4" t="inlineStr">
        <is>
          <t>62226118</t>
        </is>
      </c>
    </row>
    <row r="167" ht="18" customHeight="1">
      <c r="A167" s="5" t="inlineStr">
        <is>
          <t>KHALED ALHAMILY &lt;alhamily201@gmail.com&gt;</t>
        </is>
      </c>
      <c r="B167" s="6" t="inlineStr">
        <is>
          <t>alhamily201@gmail.com</t>
        </is>
      </c>
      <c r="C167" s="5" t="inlineStr"/>
      <c r="D167" s="5" t="inlineStr">
        <is>
          <t>Hello! How can we help you?  Report الحُبْ خَاِلْدْ شِبْيِبَ اَلَّهْامِلْيِ : 98935220   ‫أُرسلت من الـ iPhone‬</t>
        </is>
      </c>
      <c r="E167" s="7" t="inlineStr">
        <is>
          <t>98935220</t>
        </is>
      </c>
      <c r="F167" s="5" t="inlineStr">
        <is>
          <t>الحُبْ خَاِلْدْ شِبْيِبَ اَلَّهْامِلْيِ</t>
        </is>
      </c>
      <c r="G167" s="7" t="inlineStr">
        <is>
          <t>98935220</t>
        </is>
      </c>
    </row>
    <row r="168" ht="18" customHeight="1">
      <c r="A168" s="2" t="inlineStr">
        <is>
          <t>KHALED ALHAMILY &lt;alhamily201@gmail.com&gt;</t>
        </is>
      </c>
      <c r="B168" s="3" t="inlineStr">
        <is>
          <t>alhamily201@gmail.com</t>
        </is>
      </c>
      <c r="C168" s="2" t="inlineStr"/>
      <c r="D168" s="2" t="inlineStr">
        <is>
          <t>Hello! How can we help you?  Report (الحب)خالد شبيب الهاملي : 98935220   ‫أُرسلت من الـ iPhone‬</t>
        </is>
      </c>
      <c r="E168" s="4" t="inlineStr">
        <is>
          <t>98935220</t>
        </is>
      </c>
      <c r="F168" s="2" t="inlineStr">
        <is>
          <t>(الحب)خالد شبيب الهاملي</t>
        </is>
      </c>
      <c r="G168" s="4" t="inlineStr">
        <is>
          <t>98935220</t>
        </is>
      </c>
    </row>
    <row r="169" ht="18" customHeight="1">
      <c r="A169" s="5" t="inlineStr">
        <is>
          <t>KHALED ALHAMILY &lt;alhamily201@gmail.com&gt;</t>
        </is>
      </c>
      <c r="B169" s="6" t="inlineStr">
        <is>
          <t>alhamily201@gmail.com</t>
        </is>
      </c>
      <c r="C169" s="5" t="inlineStr"/>
      <c r="D169" s="5" t="inlineStr">
        <is>
          <t>Hello! How can we help you?  Report خالد شبيب الهاملي (الحب) : 98935220   ‫أُرسلت من الـ iPhone‬</t>
        </is>
      </c>
      <c r="E169" s="7" t="inlineStr">
        <is>
          <t>98935220</t>
        </is>
      </c>
      <c r="F169" s="5" t="inlineStr">
        <is>
          <t>خالد شبيب الهاملي (الحب)</t>
        </is>
      </c>
      <c r="G169" s="7" t="inlineStr">
        <is>
          <t>98935220</t>
        </is>
      </c>
    </row>
    <row r="170" ht="18" customHeight="1">
      <c r="A170" s="2" t="inlineStr">
        <is>
          <t>KHALED ALHAMILY &lt;alhamily201@gmail.com&gt;</t>
        </is>
      </c>
      <c r="B170" s="3" t="inlineStr">
        <is>
          <t>alhamily201@gmail.com</t>
        </is>
      </c>
      <c r="C170" s="2" t="inlineStr"/>
      <c r="D170" s="2" t="inlineStr">
        <is>
          <t>Hello! How can we help you?  Report الحب كله خالد شبيب : 98935220   ‫أُرسلت من الـ iPhone‬</t>
        </is>
      </c>
      <c r="E170" s="4" t="inlineStr">
        <is>
          <t>98935220</t>
        </is>
      </c>
      <c r="F170" s="2" t="inlineStr">
        <is>
          <t>الحب كله خالد شبيب</t>
        </is>
      </c>
      <c r="G170" s="4" t="inlineStr">
        <is>
          <t>98935220</t>
        </is>
      </c>
    </row>
    <row r="171" ht="18" customHeight="1">
      <c r="A171" s="5" t="inlineStr">
        <is>
          <t>Aisha Hamad &lt;aisha_92_92@icloud.com&gt;</t>
        </is>
      </c>
      <c r="B171" s="6" t="inlineStr">
        <is>
          <t>aisha_92_92@icloud.com</t>
        </is>
      </c>
      <c r="C171" s="5" t="inlineStr"/>
      <c r="D171" s="5" t="inlineStr">
        <is>
          <t>Hello! How can we help you?  Report القرين قطعه5 شارع8 منزل11 : 99363317  إذا ممكن تشيلون عنواني من الموقع كل الشكر  Sent from my iPhone</t>
        </is>
      </c>
      <c r="E171" s="7" t="inlineStr">
        <is>
          <t>99363317</t>
        </is>
      </c>
      <c r="F171" s="5" t="inlineStr">
        <is>
          <t>القرين قطعه5 شارع8 منزل11</t>
        </is>
      </c>
      <c r="G171" s="7" t="inlineStr">
        <is>
          <t>99363317</t>
        </is>
      </c>
    </row>
    <row r="172" ht="18" customHeight="1">
      <c r="A172" s="2" t="inlineStr">
        <is>
          <t>Aisha Hamad &lt;aisha_92_92@icloud.com&gt;</t>
        </is>
      </c>
      <c r="B172" s="3" t="inlineStr">
        <is>
          <t>aisha_92_92@icloud.com</t>
        </is>
      </c>
      <c r="C172" s="2" t="inlineStr"/>
      <c r="D172" s="2" t="inlineStr">
        <is>
          <t>Hello! How can we help you?  Report طالقرين ق5 ش8 م11 اللوكيشن بس ارد : 99363317  إذا ممكن تشيلون عنواني من الموقع كل الشكر  Sent from my iPhone</t>
        </is>
      </c>
      <c r="E172" s="4" t="inlineStr">
        <is>
          <t>99363317</t>
        </is>
      </c>
      <c r="F172" s="2" t="inlineStr">
        <is>
          <t>طالقرين ق5 ش8 م11 اللوكيشن بس ارد</t>
        </is>
      </c>
      <c r="G172" s="4" t="inlineStr">
        <is>
          <t>99363317</t>
        </is>
      </c>
    </row>
    <row r="173" ht="18" customHeight="1">
      <c r="A173" s="5" t="inlineStr">
        <is>
          <t>Abdullah Alazemi &lt;a.n.a.55703001@icloud.com&gt;</t>
        </is>
      </c>
      <c r="B173" s="6" t="inlineStr">
        <is>
          <t>a.n.a.55703001@icloud.com</t>
        </is>
      </c>
      <c r="C173" s="5">
        <f>?utf-8?B?2KfYs9mFINi62YrYsSDZhdmG2KfYs9ioINmI2KrYs9mF2YrZhyA=?=  =?utf-8?B?2K7Yt9ij?=</f>
        <v/>
      </c>
      <c r="D173" s="5" t="inlineStr">
        <is>
          <t>Hello! How can we help you?  Report بو محمد العازمي جبره : 55703001   ‫أُرسلت من الـ iPhone‬</t>
        </is>
      </c>
      <c r="E173" s="7" t="inlineStr">
        <is>
          <t>55703001</t>
        </is>
      </c>
      <c r="F173" s="5" t="inlineStr">
        <is>
          <t>بو محمد العازمي جبره</t>
        </is>
      </c>
      <c r="G173" s="7" t="inlineStr">
        <is>
          <t>55703001</t>
        </is>
      </c>
    </row>
    <row r="174" ht="18" customHeight="1">
      <c r="A174" s="2" t="inlineStr">
        <is>
          <t>afnan almutairi &lt;afnanalmmm@gmail.com&gt;</t>
        </is>
      </c>
      <c r="B174" s="3" t="inlineStr">
        <is>
          <t>afnanalmmm@gmail.com</t>
        </is>
      </c>
      <c r="C174" s="2" t="inlineStr"/>
      <c r="D174" s="2" t="inlineStr">
        <is>
          <t>Hello! How can we help you?  Report ز زهراء 8 ش 825 : 99555390   Sent from my iPhone</t>
        </is>
      </c>
      <c r="E174" s="4" t="inlineStr">
        <is>
          <t>99555390</t>
        </is>
      </c>
      <c r="F174" s="2" t="inlineStr">
        <is>
          <t>ز زهراء 8 ش 825</t>
        </is>
      </c>
      <c r="G174" s="4" t="inlineStr">
        <is>
          <t>99555390</t>
        </is>
      </c>
    </row>
    <row r="175" ht="18" customHeight="1">
      <c r="A175" s="5" t="inlineStr">
        <is>
          <t>Omar Butaiban &lt;butaiban@hotmail.com&gt;</t>
        </is>
      </c>
      <c r="B175" s="6" t="inlineStr">
        <is>
          <t>butaiban@hotmail.com</t>
        </is>
      </c>
      <c r="C175" s="5" t="inlineStr">
        <is>
          <t>Please delete all entries99408537</t>
        </is>
      </c>
      <c r="D175" s="5" t="inlineStr">
        <is>
          <t xml:space="preserve">Hello! How can we help you?  Report RAMI : 99408537 </t>
        </is>
      </c>
      <c r="E175" s="7" t="inlineStr">
        <is>
          <t>99408537</t>
        </is>
      </c>
      <c r="F175" s="5" t="inlineStr">
        <is>
          <t>RAMI</t>
        </is>
      </c>
      <c r="G175" s="7" t="inlineStr">
        <is>
          <t>99408537</t>
        </is>
      </c>
    </row>
    <row r="176" ht="18" customHeight="1">
      <c r="A176" s="2" t="inlineStr">
        <is>
          <t>"Reem A.m" &lt;reema.m007@gmail.com&gt;</t>
        </is>
      </c>
      <c r="B176" s="3" t="inlineStr">
        <is>
          <t>reema.m007@gmail.com</t>
        </is>
      </c>
      <c r="C176" s="2">
        <f>?utf-8?B?2YXYudmE2YjZhdin2Kog2LrZitixINi12K3Zitit2Kkg?=</f>
        <v/>
      </c>
      <c r="D176" s="2" t="inlineStr">
        <is>
          <t>Hello! How can we help you?  Report الصباحيه ق1 ش7 مدرسة : 98823320   Sent from my iPhone</t>
        </is>
      </c>
      <c r="E176" s="4" t="inlineStr">
        <is>
          <t>98823320</t>
        </is>
      </c>
      <c r="F176" s="2" t="inlineStr">
        <is>
          <t>الصباحيه ق1 ش7 مدرسة</t>
        </is>
      </c>
      <c r="G176" s="4" t="inlineStr">
        <is>
          <t>98823320</t>
        </is>
      </c>
    </row>
    <row r="177" ht="18" customHeight="1">
      <c r="A177" s="5" t="inlineStr">
        <is>
          <t>Aziz Aldooseri &lt;q8_azizaldooseri1987@icloud.com&gt;</t>
        </is>
      </c>
      <c r="B177" s="6" t="inlineStr">
        <is>
          <t>q8_azizaldooseri1987@icloud.com</t>
        </is>
      </c>
      <c r="C177" s="5">
        <f>?utf-8?B?2KfYrtmB2KfYoSDZh9iw2Kcg?=</f>
        <v/>
      </c>
      <c r="D177" s="5" t="inlineStr">
        <is>
          <t>Hello! How can we help you?  Report مطلوب- : 97795571   ‫أُرسلت من الـ iPhone‬</t>
        </is>
      </c>
      <c r="E177" s="7" t="inlineStr">
        <is>
          <t>97795571</t>
        </is>
      </c>
      <c r="F177" s="5" t="inlineStr">
        <is>
          <t>مطلوب-</t>
        </is>
      </c>
      <c r="G177" s="7" t="inlineStr">
        <is>
          <t>97795571</t>
        </is>
      </c>
    </row>
    <row r="178" ht="18" customHeight="1">
      <c r="A178" s="2" t="inlineStr">
        <is>
          <t>Aziz Aldooseri &lt;q8_azizaldooseri1987@icloud.com&gt;</t>
        </is>
      </c>
      <c r="B178" s="3" t="inlineStr">
        <is>
          <t>q8_azizaldooseri1987@icloud.com</t>
        </is>
      </c>
      <c r="C178" s="2">
        <f>?utf-8?B?2KfZhNix2KzYp9ihINin2K7Zgdin2KEg2YfYsNinINin2YTYqtiu?=  =?utf-8?B?2LLZitmG?=</f>
        <v/>
      </c>
      <c r="D178" s="2" t="inlineStr">
        <is>
          <t>Hello! How can we help you?  Report فيصل تأي- : 97795571   ‫أُرسلت من الـ iPhone‬</t>
        </is>
      </c>
      <c r="E178" s="4" t="inlineStr">
        <is>
          <t>97795571</t>
        </is>
      </c>
      <c r="F178" s="2" t="inlineStr">
        <is>
          <t>فيصل تأي-</t>
        </is>
      </c>
      <c r="G178" s="4" t="inlineStr">
        <is>
          <t>97795571</t>
        </is>
      </c>
    </row>
    <row r="179" ht="18" customHeight="1">
      <c r="A179" s="5" t="inlineStr">
        <is>
          <t>Fatma &lt;faalrsh6@gmail.com&gt;</t>
        </is>
      </c>
      <c r="B179" s="6" t="inlineStr">
        <is>
          <t>faalrsh6@gmail.com</t>
        </is>
      </c>
      <c r="C179" s="5">
        <f>?utf-8?B?2KfZhNix2KzYp9ihINmF2LPYrSDYp9mE2KfYs9mFICEhIQ==?=</f>
        <v/>
      </c>
      <c r="D179" s="5" t="inlineStr">
        <is>
          <t>Hello! How can we help you?  Report فاطمة الصليبية : 99005269   Sent from my iPhone</t>
        </is>
      </c>
      <c r="E179" s="7" t="inlineStr">
        <is>
          <t>99005269</t>
        </is>
      </c>
      <c r="F179" s="5" t="inlineStr">
        <is>
          <t>فاطمة الصليبية</t>
        </is>
      </c>
      <c r="G179" s="7" t="inlineStr">
        <is>
          <t>99005269</t>
        </is>
      </c>
    </row>
    <row r="180" ht="18" customHeight="1">
      <c r="A180" s="2">
        <f>?utf-8?B?2K3ZhdmI2K8g2YHZh9iv?= &lt;alaskar_q8@hotmail.com&gt;</f>
        <v/>
      </c>
      <c r="B180" s="3" t="inlineStr">
        <is>
          <t>alaskar_q8@hotmail.com</t>
        </is>
      </c>
      <c r="C180" s="2">
        <f>?utf-8?B?2KfYs9mF2KfYoSDYutmK2LEg2LXYrdmK2K3YqSA=?=</f>
        <v/>
      </c>
      <c r="D180" s="2" t="inlineStr">
        <is>
          <t xml:space="preserve">Hello! How can we help you?  Report طلال صليبية : 51510571  ‏‫من الـ iPhone الخاص بي‬ </t>
        </is>
      </c>
      <c r="E180" s="4" t="inlineStr">
        <is>
          <t>51510571</t>
        </is>
      </c>
      <c r="F180" s="2" t="inlineStr">
        <is>
          <t>طلال صليبية</t>
        </is>
      </c>
      <c r="G180" s="4" t="inlineStr">
        <is>
          <t>51510571</t>
        </is>
      </c>
    </row>
    <row r="181" ht="18" customHeight="1">
      <c r="A181" s="5">
        <f>?utf-8?B?2K3ZhdmI2K8g2YHZh9iv?= &lt;alaskar_q8@hotmail.com&gt;</f>
        <v/>
      </c>
      <c r="B181" s="6" t="inlineStr">
        <is>
          <t>alaskar_q8@hotmail.com</t>
        </is>
      </c>
      <c r="C181" s="5">
        <f>?utf-8?B?2KfYs9mFINmK2KrYttmF2YbZkSDYp9mE2KfYs9in2KbZhyA=?=</f>
        <v/>
      </c>
      <c r="D181" s="5" t="inlineStr">
        <is>
          <t xml:space="preserve">Hello! How can we help you?  Report شوشو طارق : 51510571  ‏‫من الـ iPhone الخاص بي‬ </t>
        </is>
      </c>
      <c r="E181" s="7" t="inlineStr">
        <is>
          <t>51510571</t>
        </is>
      </c>
      <c r="F181" s="5" t="inlineStr">
        <is>
          <t>شوشو طارق</t>
        </is>
      </c>
      <c r="G181" s="7" t="inlineStr">
        <is>
          <t>51510571</t>
        </is>
      </c>
    </row>
    <row r="182" ht="18" customHeight="1">
      <c r="A182" s="2">
        <f>?utf-8?B?2K3ZhdmI2K8g2YHZh9iv?= &lt;alaskar_q8@hotmail.com&gt;</f>
        <v/>
      </c>
      <c r="B182" s="3" t="inlineStr">
        <is>
          <t>alaskar_q8@hotmail.com</t>
        </is>
      </c>
      <c r="C182" s="2">
        <f>?utf-8?B?2KfYs9mFINmK2KrYttmF2YbZkSDYp9mE2KfYs9in2KbZhyA=?=</f>
        <v/>
      </c>
      <c r="D182" s="2" t="inlineStr">
        <is>
          <t xml:space="preserve">Hello! How can we help you?  Report دوره طلال خلف الاسلمي الشمري : 51510571  ‏‫من الـ iPhone الخاص بي‬ </t>
        </is>
      </c>
      <c r="E182" s="4" t="inlineStr">
        <is>
          <t>51510571</t>
        </is>
      </c>
      <c r="F182" s="2" t="inlineStr">
        <is>
          <t>دوره طلال خلف الاسلمي الشمري</t>
        </is>
      </c>
      <c r="G182" s="4" t="inlineStr">
        <is>
          <t>51510571</t>
        </is>
      </c>
    </row>
    <row r="183" ht="18" customHeight="1">
      <c r="A183" s="5">
        <f>?utf-8?B?2K3ZhdmI2K8g2YHZh9iv?= &lt;alaskar_q8@hotmail.com&gt;</f>
        <v/>
      </c>
      <c r="B183" s="6" t="inlineStr">
        <is>
          <t>alaskar_q8@hotmail.com</t>
        </is>
      </c>
      <c r="C183" s="5">
        <f>?utf-8?B?2KfZhNin2LPZhSDYutmK2LEg2LXYrdmK2K0=?=</f>
        <v/>
      </c>
      <c r="D183" s="5" t="inlineStr">
        <is>
          <t xml:space="preserve">Hello! How can we help you?  Report فهد حمود العسكر : 66033099  ‏‫من الـ iPhone الخاص بي‬ </t>
        </is>
      </c>
      <c r="E183" s="7" t="inlineStr">
        <is>
          <t>66033099</t>
        </is>
      </c>
      <c r="F183" s="5" t="inlineStr">
        <is>
          <t>فهد حمود العسكر</t>
        </is>
      </c>
      <c r="G183" s="7" t="inlineStr">
        <is>
          <t>66033099</t>
        </is>
      </c>
    </row>
    <row r="184" ht="18" customHeight="1">
      <c r="A184" s="2">
        <f>?utf-8?B?2K3ZhdmI2K8g2YHZh9iv?= &lt;alaskar_q8@hotmail.com&gt;</f>
        <v/>
      </c>
      <c r="B184" s="3" t="inlineStr">
        <is>
          <t>alaskar_q8@hotmail.com</t>
        </is>
      </c>
      <c r="C184" s="2">
        <f>?utf-8?B?2KfYs9mFINi62YrYsSDZhNin2KbZgg==?=</f>
        <v/>
      </c>
      <c r="D184" s="2" t="inlineStr">
        <is>
          <t xml:space="preserve">Hello! How can we help you?  Report نسافات / ديزل بو حمود : 66033099  ‏‫من الـ iPhone الخاص بي‬ </t>
        </is>
      </c>
      <c r="E184" s="4" t="inlineStr">
        <is>
          <t>66033099</t>
        </is>
      </c>
      <c r="F184" s="2" t="inlineStr">
        <is>
          <t>نسافات / ديزل بو حمود</t>
        </is>
      </c>
      <c r="G184" s="4" t="inlineStr">
        <is>
          <t>66033099</t>
        </is>
      </c>
    </row>
    <row r="185" ht="18" customHeight="1">
      <c r="A185" s="5" t="inlineStr">
        <is>
          <t>Abdulmohsen Almansour &lt;a.a.almansour@hotmail.com&gt;</t>
        </is>
      </c>
      <c r="B185" s="6" t="inlineStr">
        <is>
          <t>a.a.almansour@hotmail.com</t>
        </is>
      </c>
      <c r="C185" s="5" t="inlineStr">
        <is>
          <t>False name</t>
        </is>
      </c>
      <c r="D185" s="5" t="inlineStr">
        <is>
          <t xml:space="preserve">Hello! How can we help you?  Report Hamad-Alhashash : 99988033  Please erase this name under that number as it belongs to my wife   Best regards </t>
        </is>
      </c>
      <c r="E185" s="7" t="inlineStr">
        <is>
          <t>99988033</t>
        </is>
      </c>
      <c r="F185" s="5" t="inlineStr">
        <is>
          <t>Hamad-Alhashash</t>
        </is>
      </c>
      <c r="G185" s="7" t="inlineStr">
        <is>
          <t>99988033</t>
        </is>
      </c>
    </row>
    <row r="186" ht="18" customHeight="1">
      <c r="A186" s="2" t="inlineStr">
        <is>
          <t>Abdulmohsen Almansour &lt;a.a.almansour@hotmail.com&gt;</t>
        </is>
      </c>
      <c r="B186" s="3" t="inlineStr">
        <is>
          <t>a.a.almansour@hotmail.com</t>
        </is>
      </c>
      <c r="C186" s="2" t="inlineStr">
        <is>
          <t>False name</t>
        </is>
      </c>
      <c r="D186" s="2" t="inlineStr">
        <is>
          <t xml:space="preserve">Hello! How can we help you?  Report Hamad Alhashash : 99988033  Please erase this name, as the number belongs to my wife not that name </t>
        </is>
      </c>
      <c r="E186" s="4" t="inlineStr">
        <is>
          <t>99988033</t>
        </is>
      </c>
      <c r="F186" s="2" t="inlineStr">
        <is>
          <t>Hamad Alhashash</t>
        </is>
      </c>
      <c r="G186" s="4" t="inlineStr">
        <is>
          <t>99988033</t>
        </is>
      </c>
    </row>
    <row r="187" ht="18" customHeight="1">
      <c r="A187" s="5" t="inlineStr">
        <is>
          <t>Mohammed Alj &lt;moody.s.j@icloud.com&gt;</t>
        </is>
      </c>
      <c r="B187" s="6" t="inlineStr">
        <is>
          <t>moody.s.j@icloud.com</t>
        </is>
      </c>
      <c r="C187" s="5">
        <f>?utf-8?B?2YrYsdis2Yog2YXYs9itINin2YTYp9iz2YUg?=</f>
        <v/>
      </c>
      <c r="D187" s="5" t="inlineStr">
        <is>
          <t>Hello! How can we help you?  Report احمد ابنى الاهبل : 67776790   ‫أُرسلت من الـ iPhone‬</t>
        </is>
      </c>
      <c r="E187" s="7" t="inlineStr">
        <is>
          <t>67776790</t>
        </is>
      </c>
      <c r="F187" s="5" t="inlineStr">
        <is>
          <t>احمد ابنى الاهبل</t>
        </is>
      </c>
      <c r="G187" s="7" t="inlineStr">
        <is>
          <t>67776790</t>
        </is>
      </c>
    </row>
    <row r="188" ht="18" customHeight="1">
      <c r="A188" s="2" t="inlineStr">
        <is>
          <t>Mohammed Alj &lt;moody.s.j@icloud.com&gt;</t>
        </is>
      </c>
      <c r="B188" s="3" t="inlineStr">
        <is>
          <t>moody.s.j@icloud.com</t>
        </is>
      </c>
      <c r="C188" s="2">
        <f>?utf-8?B?2YfYsNinINi52YbZiNin2YYg2YXZhtiy2YTZiiDZitix2KzZiiA=?=  =?utf-8?B?2YXYs9it2Yc=?=</f>
        <v/>
      </c>
      <c r="D188" s="2" t="inlineStr">
        <is>
          <t>Hello! How can we help you?  Report الجارالله باب شاور كيفان ق 1 ش القدس م 33 : 67776790   ‫أُرسلت من الـ iPhone‬</t>
        </is>
      </c>
      <c r="E188" s="4" t="inlineStr">
        <is>
          <t>67776790</t>
        </is>
      </c>
      <c r="F188" s="2" t="inlineStr">
        <is>
          <t>الجارالله باب شاور كيفان ق 1 ش القدس م 33</t>
        </is>
      </c>
      <c r="G188" s="4" t="inlineStr">
        <is>
          <t>67776790</t>
        </is>
      </c>
    </row>
    <row r="189" ht="18" customHeight="1">
      <c r="A189" s="5" t="inlineStr">
        <is>
          <t>Soud Alqwe3an &lt;soud.alqwe3an@gmail.com&gt;</t>
        </is>
      </c>
      <c r="B189" s="6" t="inlineStr">
        <is>
          <t>soud.alqwe3an@gmail.com</t>
        </is>
      </c>
      <c r="C189" s="5">
        <f>?utf-8?B?2YfYp9mE2KfYs9mFINmF2Ygg2KfYs9mF2Yog2YrYsdis2Ykg2Kc=?=  =?utf-8?B?2LLYp9mE2KrZhyA=?=</f>
        <v/>
      </c>
      <c r="D189" s="5" t="inlineStr">
        <is>
          <t>Hello! How can we help you?  Report مشعل السبيعي - : 55552442   ‫أُرسلت من الـ iPhone‬</t>
        </is>
      </c>
      <c r="E189" s="7" t="inlineStr">
        <is>
          <t>55552442</t>
        </is>
      </c>
      <c r="F189" s="5" t="inlineStr">
        <is>
          <t>مشعل السبيعي -</t>
        </is>
      </c>
      <c r="G189" s="7" t="inlineStr">
        <is>
          <t>55552442</t>
        </is>
      </c>
    </row>
    <row r="190" ht="18" customHeight="1">
      <c r="A190" s="2">
        <f>?utf-8?B?2KzYsdin2K0g2KfZhNi52KrZitio2Yo=?= &lt;al3tibi1988@gmail.com&gt;</f>
        <v/>
      </c>
      <c r="B190" s="3" t="inlineStr">
        <is>
          <t>al3tibi1988@gmail.com</t>
        </is>
      </c>
      <c r="C190" s="2">
        <f>?utf-8?B?2YXYs9itINin2LPZhSDYp9mE2KrYrtiy2YrZhg==?=</f>
        <v/>
      </c>
      <c r="D190" s="2" t="inlineStr">
        <is>
          <t xml:space="preserve">Hello! How can we help you?  Report جوجو العتيبي : 65565888   ‫أُرسلت من الـ iPhone‬ الرجاء المسح من الموقع </t>
        </is>
      </c>
      <c r="E190" s="4" t="inlineStr">
        <is>
          <t>65565888</t>
        </is>
      </c>
      <c r="F190" s="2" t="inlineStr">
        <is>
          <t>جوجو العتيبي</t>
        </is>
      </c>
      <c r="G190" s="4" t="inlineStr">
        <is>
          <t>65565888</t>
        </is>
      </c>
    </row>
    <row r="191" ht="18" customHeight="1">
      <c r="A191" s="5">
        <f>?utf-8?B?2KzYsdin2K0g2KfZhNi52KrZitio2Yo=?= &lt;al3tibi1988@gmail.com&gt;</f>
        <v/>
      </c>
      <c r="B191" s="6" t="inlineStr">
        <is>
          <t>al3tibi1988@gmail.com</t>
        </is>
      </c>
      <c r="C191" s="5" t="inlineStr"/>
      <c r="D191" s="5" t="inlineStr">
        <is>
          <t>Hello! How can we help you?  Report جوجو العتيبي : 65565888   ‫أُرسلت من الـ iPhone‬</t>
        </is>
      </c>
      <c r="E191" s="7" t="inlineStr">
        <is>
          <t>65565888</t>
        </is>
      </c>
      <c r="F191" s="5" t="inlineStr">
        <is>
          <t>جوجو العتيبي</t>
        </is>
      </c>
      <c r="G191" s="7" t="inlineStr">
        <is>
          <t>65565888</t>
        </is>
      </c>
    </row>
    <row r="192" ht="18" customHeight="1">
      <c r="A192" s="2" t="inlineStr">
        <is>
          <t>M A &lt;m7md855@icloud.com&gt;</t>
        </is>
      </c>
      <c r="B192" s="3" t="inlineStr">
        <is>
          <t>m7md855@icloud.com</t>
        </is>
      </c>
      <c r="C192" s="2">
        <f>?utf-8?B?2KfYsdis2Ygg2K3YsNmBINis2YXZiti5INin2YTYp9iz2YXYp9ih?=  =?utf-8?B?INmI2KfZhNin2LHZgtin2YUg2KrZg9ix2YXYpw==?=</f>
        <v/>
      </c>
      <c r="D192" s="2" t="inlineStr">
        <is>
          <t xml:space="preserve">Hello! How can we help you?    ارجو حذف جميع الاسماء والارقام تكرما    Report عبدالله محمد طحوس- : 55558483  </t>
        </is>
      </c>
      <c r="E192" s="4" t="inlineStr">
        <is>
          <t>55558483</t>
        </is>
      </c>
      <c r="F192" s="2" t="inlineStr">
        <is>
          <t>عبدالله محمد طحوس-</t>
        </is>
      </c>
      <c r="G192" s="4" t="inlineStr">
        <is>
          <t>55558483</t>
        </is>
      </c>
    </row>
    <row r="193" ht="18" customHeight="1">
      <c r="A193" s="5" t="inlineStr">
        <is>
          <t>reta alrashid &lt;ralrashid96@gmail.com&gt;</t>
        </is>
      </c>
      <c r="B193" s="6" t="inlineStr">
        <is>
          <t>ralrashid96@gmail.com</t>
        </is>
      </c>
      <c r="C193" s="5" t="inlineStr"/>
      <c r="D193" s="5" t="inlineStr">
        <is>
          <t xml:space="preserve">Hello! How can we help you?  Report 296020800465 : 66638879  </t>
        </is>
      </c>
      <c r="E193" s="7" t="inlineStr">
        <is>
          <t>66638879</t>
        </is>
      </c>
      <c r="F193" s="5" t="inlineStr">
        <is>
          <t>296020800465</t>
        </is>
      </c>
      <c r="G193" s="7" t="inlineStr">
        <is>
          <t>66638879</t>
        </is>
      </c>
    </row>
    <row r="194" ht="18" customHeight="1">
      <c r="A194" s="2" t="inlineStr">
        <is>
          <t>Mohamed Ghabina &lt;ghabina90@icloud.com&gt;</t>
        </is>
      </c>
      <c r="B194" s="3" t="inlineStr">
        <is>
          <t>ghabina90@icloud.com</t>
        </is>
      </c>
      <c r="C194" s="2">
        <f>?utf-8?Q?Report_=D8=A7=D9=86=D9=88=D8=B1_:_55206925?=</f>
        <v/>
      </c>
      <c r="D194" s="2" t="inlineStr">
        <is>
          <t>Hello! How can we help you?    Report انور : 55206925    Not same name  Sent from my iPhone</t>
        </is>
      </c>
      <c r="E194" s="4" t="inlineStr">
        <is>
          <t>55206925</t>
        </is>
      </c>
      <c r="F194" s="2" t="inlineStr">
        <is>
          <t>انور</t>
        </is>
      </c>
      <c r="G194" s="4" t="inlineStr">
        <is>
          <t>55206925</t>
        </is>
      </c>
    </row>
    <row r="195" ht="18" customHeight="1">
      <c r="A195" s="5" t="inlineStr">
        <is>
          <t>Shahad Alosaimi &lt;eng.shahad93@icloud.com&gt;</t>
        </is>
      </c>
      <c r="B195" s="6" t="inlineStr">
        <is>
          <t>eng.shahad93@icloud.com</t>
        </is>
      </c>
      <c r="C195" s="5" t="inlineStr">
        <is>
          <t xml:space="preserve">Report </t>
        </is>
      </c>
      <c r="D195" s="5" t="inlineStr">
        <is>
          <t>Hello! How can we help you?  Report Shetaa : 51010303   Sent from my iPhone</t>
        </is>
      </c>
      <c r="E195" s="7" t="inlineStr">
        <is>
          <t>51010303</t>
        </is>
      </c>
      <c r="F195" s="5" t="inlineStr">
        <is>
          <t>Shetaa</t>
        </is>
      </c>
      <c r="G195" s="7" t="inlineStr">
        <is>
          <t>51010303</t>
        </is>
      </c>
    </row>
    <row r="196" ht="18" customHeight="1">
      <c r="A196" s="2" t="inlineStr">
        <is>
          <t>Ahmed Elhalawany &lt;ahmedelhalawany@icloud.com&gt;</t>
        </is>
      </c>
      <c r="B196" s="3" t="inlineStr">
        <is>
          <t>ahmedelhalawany@icloud.com</t>
        </is>
      </c>
      <c r="C196" s="2" t="inlineStr"/>
      <c r="D196" s="2" t="inlineStr">
        <is>
          <t>Hello! How can we help you?  Report جوز رانيا : 65150234   Sent from my iPhone</t>
        </is>
      </c>
      <c r="E196" s="4" t="inlineStr">
        <is>
          <t>65150234</t>
        </is>
      </c>
      <c r="F196" s="2" t="inlineStr">
        <is>
          <t>جوز رانيا</t>
        </is>
      </c>
      <c r="G196" s="4" t="inlineStr">
        <is>
          <t>65150234</t>
        </is>
      </c>
    </row>
    <row r="197" ht="18" customHeight="1">
      <c r="A197" s="5" t="inlineStr">
        <is>
          <t>Ahmed Elhalawany &lt;ahmedelhalawany@icloud.com&gt;</t>
        </is>
      </c>
      <c r="B197" s="6" t="inlineStr">
        <is>
          <t>ahmedelhalawany@icloud.com</t>
        </is>
      </c>
      <c r="C197" s="5" t="inlineStr"/>
      <c r="D197" s="5" t="inlineStr">
        <is>
          <t>Hello! How can we help you?  Report جوز رانيا : 65150234   Sent from my iPhone</t>
        </is>
      </c>
      <c r="E197" s="7" t="inlineStr">
        <is>
          <t>65150234</t>
        </is>
      </c>
      <c r="F197" s="5" t="inlineStr">
        <is>
          <t>جوز رانيا</t>
        </is>
      </c>
      <c r="G197" s="7" t="inlineStr">
        <is>
          <t>65150234</t>
        </is>
      </c>
    </row>
    <row r="198" ht="18" customHeight="1">
      <c r="A198" s="2" t="inlineStr">
        <is>
          <t>Ahmed Elhalawany &lt;ahmedelhalawany@icloud.com&gt;</t>
        </is>
      </c>
      <c r="B198" s="3" t="inlineStr">
        <is>
          <t>ahmedelhalawany@icloud.com</t>
        </is>
      </c>
      <c r="C198" s="2" t="inlineStr"/>
      <c r="D198" s="2" t="inlineStr">
        <is>
          <t>Hello! How can we help you?  Report مهبولة ق 1 ش 103 منزل 65 : 65150234   Sent from my iPhone</t>
        </is>
      </c>
      <c r="E198" s="4" t="inlineStr">
        <is>
          <t>65150234</t>
        </is>
      </c>
      <c r="F198" s="2" t="inlineStr">
        <is>
          <t>مهبولة ق 1 ش 103 منزل 65</t>
        </is>
      </c>
      <c r="G198" s="4" t="inlineStr">
        <is>
          <t>65150234</t>
        </is>
      </c>
    </row>
    <row r="199" ht="18" customHeight="1">
      <c r="A199" s="5" t="inlineStr">
        <is>
          <t>wld q8 &lt;dr.q8-@hotmail.com&gt;</t>
        </is>
      </c>
      <c r="B199" s="6" t="inlineStr">
        <is>
          <t>dr.q8-@hotmail.com</t>
        </is>
      </c>
      <c r="C199" s="5">
        <f>?utf-8?B?2KfZhNiz2YTYp9mFINi52YTZitmD2YUg2YrYsdis2KfYoSDZhdiz2K0g2Kg=?=  =?utf-8?B?2LnYtiDYp9mE2YXYs9mF2YrYp9iqINmI2LTZg9ix2KfZiw==?=</f>
        <v/>
      </c>
      <c r="D199" s="5" t="inlineStr">
        <is>
          <t xml:space="preserve">Hello! How can we help you?  Report نعاااال غثيثه : 55594923  ‏‫من الـ iPhone الخاص بي‬ </t>
        </is>
      </c>
      <c r="E199" s="7" t="inlineStr">
        <is>
          <t>55594923</t>
        </is>
      </c>
      <c r="F199" s="5" t="inlineStr">
        <is>
          <t>نعاااال غثيثه</t>
        </is>
      </c>
      <c r="G199" s="7" t="inlineStr">
        <is>
          <t>55594923</t>
        </is>
      </c>
    </row>
    <row r="200" ht="18" customHeight="1">
      <c r="A200" s="2" t="inlineStr">
        <is>
          <t>wld q8 &lt;dr.q8-@hotmail.com&gt;</t>
        </is>
      </c>
      <c r="B200" s="3" t="inlineStr">
        <is>
          <t>dr.q8-@hotmail.com</t>
        </is>
      </c>
      <c r="C200" s="2">
        <f>?utf-8?B?2KfZhNiz2YTYp9mFINi52YTZitmD2YUg2YrYsdis2KfYoSDZhdiz2K0g2Kg=?=  =?utf-8?B?2LnYtiDYp9mE2YXYs9mF2YrYp9iqINmI2LTZg9ix2KfZiyA=?=</f>
        <v/>
      </c>
      <c r="D200" s="2" t="inlineStr">
        <is>
          <t xml:space="preserve">Hello! How can we help you?  Report متزوجه : 55594923  ‏‫من الـ iPhone الخاص بي‬ </t>
        </is>
      </c>
      <c r="E200" s="4" t="inlineStr">
        <is>
          <t>55594923</t>
        </is>
      </c>
      <c r="F200" s="2" t="inlineStr">
        <is>
          <t>متزوجه</t>
        </is>
      </c>
      <c r="G200" s="4" t="inlineStr">
        <is>
          <t>55594923</t>
        </is>
      </c>
    </row>
    <row r="201" ht="18" customHeight="1">
      <c r="A201" s="5" t="inlineStr">
        <is>
          <t>6LOoOoL AL-SHAMMRI &lt;Q8_6LOOL_Q8@hotmail.com&gt;</t>
        </is>
      </c>
      <c r="B201" s="6" t="inlineStr">
        <is>
          <t>Q8_6LOOL_Q8@hotmail.com</t>
        </is>
      </c>
      <c r="C201" s="5" t="inlineStr"/>
      <c r="D201" s="5" t="inlineStr">
        <is>
          <t xml:space="preserve">Hello! How can we help you?  Report بو فسيه : 96999447  ‫أُرسلت من الـ iPhone‬ </t>
        </is>
      </c>
      <c r="E201" s="7" t="inlineStr">
        <is>
          <t>96999447</t>
        </is>
      </c>
      <c r="F201" s="5" t="inlineStr">
        <is>
          <t>بو فسيه</t>
        </is>
      </c>
      <c r="G201" s="7" t="inlineStr">
        <is>
          <t>96999447</t>
        </is>
      </c>
    </row>
    <row r="202" ht="18" customHeight="1">
      <c r="A202" s="2" t="inlineStr">
        <is>
          <t>Hamad Alfailakawi &lt;h_elfailchawi@icloud.com&gt;</t>
        </is>
      </c>
      <c r="B202" s="3" t="inlineStr">
        <is>
          <t>h_elfailchawi@icloud.com</t>
        </is>
      </c>
      <c r="C202" s="2" t="inlineStr"/>
      <c r="D202" s="2" t="inlineStr">
        <is>
          <t>Hello! How can we help you?  Report عرض شيشة الواحه : 50373112   Sent from my iPhone</t>
        </is>
      </c>
      <c r="E202" s="4" t="inlineStr">
        <is>
          <t>50373112</t>
        </is>
      </c>
      <c r="F202" s="2" t="inlineStr">
        <is>
          <t>عرض شيشة الواحه</t>
        </is>
      </c>
      <c r="G202" s="4" t="inlineStr">
        <is>
          <t>50373112</t>
        </is>
      </c>
    </row>
    <row r="203" ht="18" customHeight="1">
      <c r="A203" s="5" t="inlineStr">
        <is>
          <t>Khazna Al-Shammery &lt;khazna@windowslive.com&gt;</t>
        </is>
      </c>
      <c r="B203" s="6" t="inlineStr">
        <is>
          <t>khazna@windowslive.com</t>
        </is>
      </c>
      <c r="C203" s="5">
        <f>?utf-8?B?2YXYp9mH2Yog2K3YsdmFINin2K3YryDYp9mE2KjZhtiqINmF2Ygg2YXYqtiy?=  =?utf-8?B?2YjYrNip?=</f>
        <v/>
      </c>
      <c r="D203" s="5" t="inlineStr">
        <is>
          <t xml:space="preserve">Hello! How can we help you?  Report حرم غافل- : 55521174  ‫أُرسلت من الـ iPhone‬ </t>
        </is>
      </c>
      <c r="E203" s="7" t="inlineStr">
        <is>
          <t>55521174</t>
        </is>
      </c>
      <c r="F203" s="5" t="inlineStr">
        <is>
          <t>حرم غافل-</t>
        </is>
      </c>
      <c r="G203" s="7" t="inlineStr">
        <is>
          <t>55521174</t>
        </is>
      </c>
    </row>
    <row r="204" ht="18" customHeight="1">
      <c r="A204" s="2" t="inlineStr">
        <is>
          <t>A Z &lt;washy94@gmail.com&gt;</t>
        </is>
      </c>
      <c r="B204" s="3" t="inlineStr">
        <is>
          <t>washy94@gmail.com</t>
        </is>
      </c>
      <c r="C204" s="2" t="inlineStr"/>
      <c r="D204" s="2" t="inlineStr">
        <is>
          <t>Hello! How can we help you?  Report عايشة المطيري جمعية الشريعه- : 55129985   ‫أُرسلت من الـ iPhone‬</t>
        </is>
      </c>
      <c r="E204" s="4" t="inlineStr">
        <is>
          <t>55129985</t>
        </is>
      </c>
      <c r="F204" s="2" t="inlineStr">
        <is>
          <t>عايشة المطيري جمعية الشريعه-</t>
        </is>
      </c>
      <c r="G204" s="4" t="inlineStr">
        <is>
          <t>55129985</t>
        </is>
      </c>
    </row>
    <row r="205" ht="18" customHeight="1">
      <c r="A205" s="5" t="inlineStr">
        <is>
          <t>A Z &lt;washy94@gmail.com&gt;</t>
        </is>
      </c>
      <c r="B205" s="6" t="inlineStr">
        <is>
          <t>washy94@gmail.com</t>
        </is>
      </c>
      <c r="C205" s="5" t="inlineStr"/>
      <c r="D205" s="5" t="inlineStr">
        <is>
          <t>Hello! How can we help you?  Report عايشه زيد قروب الشريعه- : 55129985   ‫أُرسلت من الـ iPhone‬</t>
        </is>
      </c>
      <c r="E205" s="7" t="inlineStr">
        <is>
          <t>55129985</t>
        </is>
      </c>
      <c r="F205" s="5" t="inlineStr">
        <is>
          <t>عايشه زيد قروب الشريعه-</t>
        </is>
      </c>
      <c r="G205" s="7" t="inlineStr">
        <is>
          <t>55129985</t>
        </is>
      </c>
    </row>
    <row r="206" ht="18" customHeight="1">
      <c r="A206" s="2" t="inlineStr">
        <is>
          <t>A Z &lt;washy94@gmail.com&gt;</t>
        </is>
      </c>
      <c r="B206" s="3" t="inlineStr">
        <is>
          <t>washy94@gmail.com</t>
        </is>
      </c>
      <c r="C206" s="2" t="inlineStr"/>
      <c r="D206" s="2" t="inlineStr">
        <is>
          <t>Hello! How can we help you?  Report رحلة الخميس كلية الشريعة 3 باصات- : 55129985   ‫أُرسلت من الـ iPhone‬</t>
        </is>
      </c>
      <c r="E206" s="4" t="inlineStr">
        <is>
          <t>55129985</t>
        </is>
      </c>
      <c r="F206" s="2" t="inlineStr">
        <is>
          <t>رحلة الخميس كلية الشريعة 3 باصات-</t>
        </is>
      </c>
      <c r="G206" s="4" t="inlineStr">
        <is>
          <t>55129985</t>
        </is>
      </c>
    </row>
    <row r="207" ht="18" customHeight="1">
      <c r="A207" s="5" t="inlineStr">
        <is>
          <t>A Z &lt;washy94@gmail.com&gt;</t>
        </is>
      </c>
      <c r="B207" s="6" t="inlineStr">
        <is>
          <t>washy94@gmail.com</t>
        </is>
      </c>
      <c r="C207" s="5" t="inlineStr"/>
      <c r="D207" s="5" t="inlineStr">
        <is>
          <t>Hello! How can we help you?  Report بنت الجمعية- : 55129985   ‫أُرسلت من الـ iPhone‬</t>
        </is>
      </c>
      <c r="E207" s="7" t="inlineStr">
        <is>
          <t>55129985</t>
        </is>
      </c>
      <c r="F207" s="5" t="inlineStr">
        <is>
          <t>بنت الجمعية-</t>
        </is>
      </c>
      <c r="G207" s="7" t="inlineStr">
        <is>
          <t>55129985</t>
        </is>
      </c>
    </row>
    <row r="208" ht="18" customHeight="1">
      <c r="A208" s="2" t="inlineStr">
        <is>
          <t>Jumana Dashti &lt;jumanadashti88@icloud.com&gt;</t>
        </is>
      </c>
      <c r="B208" s="3" t="inlineStr">
        <is>
          <t>jumanadashti88@icloud.com</t>
        </is>
      </c>
      <c r="C208" s="2" t="inlineStr"/>
      <c r="D208" s="2" t="inlineStr">
        <is>
          <t>Hello! How can we help you?  Report جمانه الزباله : 96960789   ‫أُرسلت من الـ iPhone‬</t>
        </is>
      </c>
      <c r="E208" s="4" t="inlineStr">
        <is>
          <t>96960789</t>
        </is>
      </c>
      <c r="F208" s="2" t="inlineStr">
        <is>
          <t>جمانه الزباله</t>
        </is>
      </c>
      <c r="G208" s="4" t="inlineStr">
        <is>
          <t>96960789</t>
        </is>
      </c>
    </row>
    <row r="209" ht="18" customHeight="1">
      <c r="A209" s="5" t="inlineStr">
        <is>
          <t>"M. Bastaki" &lt;acc.bastaki@hotmail.com&gt;</t>
        </is>
      </c>
      <c r="B209" s="6" t="inlineStr">
        <is>
          <t>acc.bastaki@hotmail.com</t>
        </is>
      </c>
      <c r="C209" s="5">
        <f>?iso-8859-6?B?UmVwb3J0IC8gysjk6to=?=</f>
        <v/>
      </c>
      <c r="D209" s="5" t="inlineStr">
        <is>
          <t xml:space="preserve">Report Porsche Ga7ba : 97374756 Report Ga7ba Porsche : 97374756 Report Mariam Elga7ba : 97374756   Get Outlook for iOS&lt;https://aka.ms/o0ukef&gt; </t>
        </is>
      </c>
      <c r="E209" s="7" t="inlineStr">
        <is>
          <t>97374756</t>
        </is>
      </c>
      <c r="F209" s="5" t="inlineStr">
        <is>
          <t>Porsche Ga7ba</t>
        </is>
      </c>
      <c r="G209" s="7" t="inlineStr">
        <is>
          <t>97374756</t>
        </is>
      </c>
    </row>
    <row r="210" ht="18" customHeight="1">
      <c r="A210" s="2" t="inlineStr">
        <is>
          <t>Coco Moha &lt;extra_870@icloud.com&gt;</t>
        </is>
      </c>
      <c r="B210" s="3" t="inlineStr">
        <is>
          <t>extra_870@icloud.com</t>
        </is>
      </c>
      <c r="C210" s="2">
        <f>?utf-8?B?2KfYs9ij2KHZhyDZiNiq2LTZiNmK2Ycg2LPZhdi52Yc=?=</f>
        <v/>
      </c>
      <c r="D210" s="2" t="inlineStr">
        <is>
          <t>Hello! How can we help you?  Report مطيري وسخ ⛔️ : 94418142   ‫أُرسلت من الـ iPhone‬</t>
        </is>
      </c>
      <c r="E210" s="4" t="inlineStr">
        <is>
          <t>94418142</t>
        </is>
      </c>
      <c r="F210" s="2" t="inlineStr">
        <is>
          <t>مطيري وسخ ⛔️</t>
        </is>
      </c>
      <c r="G210" s="4" t="inlineStr">
        <is>
          <t>94418142</t>
        </is>
      </c>
    </row>
    <row r="211" ht="18" customHeight="1">
      <c r="A211" s="5">
        <f>?utf-8?B?2LnZhNmKINin2YTYsdi02YrYr9mK?= &lt;qeeybf32@icloud.com&gt;</f>
        <v/>
      </c>
      <c r="B211" s="6" t="inlineStr">
        <is>
          <t>qeeybf32@icloud.com</t>
        </is>
      </c>
      <c r="C211" s="5" t="inlineStr"/>
      <c r="D211" s="5" t="inlineStr">
        <is>
          <t xml:space="preserve">Hello! How can we help you?  Report ابو بشاير الرحاب : 60005058 ا  ارجو من شركة منو داق مسح الاسم اساءه لي ارجو منكم مسح الاسم وشكراً   </t>
        </is>
      </c>
      <c r="E211" s="7" t="inlineStr">
        <is>
          <t>60005058</t>
        </is>
      </c>
      <c r="F211" s="5" t="inlineStr">
        <is>
          <t>ابو بشاير الرحاب</t>
        </is>
      </c>
      <c r="G211" s="7" t="inlineStr">
        <is>
          <t>60005058</t>
        </is>
      </c>
    </row>
    <row r="212" ht="18" customHeight="1">
      <c r="A212" s="2" t="inlineStr">
        <is>
          <t>asaalsubaie@icloud.com</t>
        </is>
      </c>
      <c r="B212" s="3" t="inlineStr">
        <is>
          <t>asaalsubaie@icloud.com</t>
        </is>
      </c>
      <c r="C212" s="2">
        <f>?utf-8?B?2YXYs9itINin2YTYsdmC2YU=?=</f>
        <v/>
      </c>
      <c r="D212" s="2" t="inlineStr">
        <is>
          <t>Hello! How can we help you?  Report Odaib- : 90089332   Sent from my iPhone</t>
        </is>
      </c>
      <c r="E212" s="4" t="inlineStr">
        <is>
          <t>90089332</t>
        </is>
      </c>
      <c r="F212" s="2" t="inlineStr">
        <is>
          <t>Odaib-</t>
        </is>
      </c>
      <c r="G212" s="4" t="inlineStr">
        <is>
          <t>90089332</t>
        </is>
      </c>
    </row>
    <row r="213" ht="18" customHeight="1">
      <c r="A213" s="5" t="inlineStr">
        <is>
          <t>asaalsubaie@icloud.com</t>
        </is>
      </c>
      <c r="B213" s="6" t="inlineStr">
        <is>
          <t>asaalsubaie@icloud.com</t>
        </is>
      </c>
      <c r="C213" s="5">
        <f>?utf-8?B?2YXYs9itINin2YTYsdmC2YU=?=</f>
        <v/>
      </c>
      <c r="D213" s="5" t="inlineStr">
        <is>
          <t>Hello! How can we help you?  Report A • = ( : 90089332   Sent from my iPhone</t>
        </is>
      </c>
      <c r="E213" s="7" t="inlineStr">
        <is>
          <t>90089332</t>
        </is>
      </c>
      <c r="F213" s="5" t="inlineStr">
        <is>
          <t>A • = (</t>
        </is>
      </c>
      <c r="G213" s="7" t="inlineStr">
        <is>
          <t>90089332</t>
        </is>
      </c>
    </row>
    <row r="214" ht="18" customHeight="1">
      <c r="A214" s="2" t="inlineStr">
        <is>
          <t>asaalsubaie@icloud.com</t>
        </is>
      </c>
      <c r="B214" s="3" t="inlineStr">
        <is>
          <t>asaalsubaie@icloud.com</t>
        </is>
      </c>
      <c r="C214" s="2">
        <f>?utf-8?B?2YXYs9itINin2YTYsdmC2YU=?=</f>
        <v/>
      </c>
      <c r="D214" s="2" t="inlineStr">
        <is>
          <t>Hello! How can we help you?  Report Mmmmmmnnnnnoooo : 90089332   Sent from my iPhone</t>
        </is>
      </c>
      <c r="E214" s="4" t="inlineStr">
        <is>
          <t>90089332</t>
        </is>
      </c>
      <c r="F214" s="2" t="inlineStr">
        <is>
          <t>Mmmmmmnnnnnoooo</t>
        </is>
      </c>
      <c r="G214" s="4" t="inlineStr">
        <is>
          <t>90089332</t>
        </is>
      </c>
    </row>
    <row r="215" ht="18" customHeight="1">
      <c r="A215" s="5">
        <f>?utf-8?B?2LnYqNiv2KfZhNmE2Ycg2KfZhNi62KfZgdmE?= &lt;abdalanahar2@gmail.com&gt;</f>
        <v/>
      </c>
      <c r="B215" s="6" t="inlineStr">
        <is>
          <t>abdalanahar2@gmail.com</t>
        </is>
      </c>
      <c r="C215" s="5">
        <f>?utf-8?B?2KfYs9mFIA==?=</f>
        <v/>
      </c>
      <c r="D215" s="5" t="inlineStr">
        <is>
          <t>الرجاء حذف الاسم لان فيه اساءه    Hello! How can we help you?  Report نواف المطي : 55159879   ‫أُرسلت من الـ iPhone‬</t>
        </is>
      </c>
      <c r="E215" s="7" t="inlineStr">
        <is>
          <t>55159879</t>
        </is>
      </c>
      <c r="F215" s="5" t="inlineStr">
        <is>
          <t>نواف المطي</t>
        </is>
      </c>
      <c r="G215" s="7" t="inlineStr">
        <is>
          <t>55159879</t>
        </is>
      </c>
    </row>
    <row r="216" ht="18" customHeight="1">
      <c r="A216" s="2" t="inlineStr">
        <is>
          <t>Salah Alotaibi &lt;dmrdn@hotmail.com&gt;</t>
        </is>
      </c>
      <c r="B216" s="3" t="inlineStr">
        <is>
          <t>dmrdn@hotmail.com</t>
        </is>
      </c>
      <c r="C216" s="2">
        <f>?utf-8?B?2KfYs9mFINmF2LPZitmJ2KE=?=</f>
        <v/>
      </c>
      <c r="D216" s="2" t="inlineStr">
        <is>
          <t xml:space="preserve">Hello! How can we help you?  الرجاء مسح الاسم مسيء لرقمي  Report ديوووث- : 55577557  Sent from my iPhone </t>
        </is>
      </c>
      <c r="E216" s="4" t="inlineStr">
        <is>
          <t>55577557</t>
        </is>
      </c>
      <c r="F216" s="2" t="inlineStr">
        <is>
          <t>ديوووث-</t>
        </is>
      </c>
      <c r="G216" s="4" t="inlineStr">
        <is>
          <t>55577557</t>
        </is>
      </c>
    </row>
    <row r="217" ht="18" customHeight="1">
      <c r="A217" s="5" t="inlineStr">
        <is>
          <t>"HuMooD ." &lt;mr.humood@hotmail.com&gt;</t>
        </is>
      </c>
      <c r="B217" s="6" t="inlineStr">
        <is>
          <t>mr.humood@hotmail.com</t>
        </is>
      </c>
      <c r="C217" s="5" t="inlineStr"/>
      <c r="D217" s="5" t="inlineStr">
        <is>
          <t xml:space="preserve">Hello! How can we help you?  Report حمود بو حسين بيع نكات انستغرام- : 67757151  Sent from my iPhone </t>
        </is>
      </c>
      <c r="E217" s="7" t="inlineStr">
        <is>
          <t>67757151</t>
        </is>
      </c>
      <c r="F217" s="5" t="inlineStr">
        <is>
          <t>حمود بو حسين بيع نكات انستغرام-</t>
        </is>
      </c>
      <c r="G217" s="7" t="inlineStr">
        <is>
          <t>67757151</t>
        </is>
      </c>
    </row>
    <row r="218" ht="18" customHeight="1">
      <c r="A218" s="2" t="inlineStr">
        <is>
          <t>"HuMooD ." &lt;mr.humood@hotmail.com&gt;</t>
        </is>
      </c>
      <c r="B218" s="3" t="inlineStr">
        <is>
          <t>mr.humood@hotmail.com</t>
        </is>
      </c>
      <c r="C218" s="2" t="inlineStr"/>
      <c r="D218" s="2" t="inlineStr">
        <is>
          <t xml:space="preserve">Hello! How can we help you?  Report حمود تابع زياده تويتر- : 67757151  Sent from my iPhone </t>
        </is>
      </c>
      <c r="E218" s="4" t="inlineStr">
        <is>
          <t>67757151</t>
        </is>
      </c>
      <c r="F218" s="2" t="inlineStr">
        <is>
          <t>حمود تابع زياده تويتر-</t>
        </is>
      </c>
      <c r="G218" s="4" t="inlineStr">
        <is>
          <t>67757151</t>
        </is>
      </c>
    </row>
    <row r="219" ht="18" customHeight="1">
      <c r="A219" s="5" t="inlineStr">
        <is>
          <t>"HuMooD ." &lt;mr.humood@hotmail.com&gt;</t>
        </is>
      </c>
      <c r="B219" s="6" t="inlineStr">
        <is>
          <t>mr.humood@hotmail.com</t>
        </is>
      </c>
      <c r="C219" s="5" t="inlineStr"/>
      <c r="D219" s="5" t="inlineStr">
        <is>
          <t xml:space="preserve">Hello! How can we help you?  Report حمودالعنزي بيت الزكاه- : 67757151  Sent from my iPhone </t>
        </is>
      </c>
      <c r="E219" s="7" t="inlineStr">
        <is>
          <t>67757151</t>
        </is>
      </c>
      <c r="F219" s="5" t="inlineStr">
        <is>
          <t>حمودالعنزي بيت الزكاه-</t>
        </is>
      </c>
      <c r="G219" s="7" t="inlineStr">
        <is>
          <t>67757151</t>
        </is>
      </c>
    </row>
    <row r="220" ht="18" customHeight="1">
      <c r="A220" s="2" t="inlineStr">
        <is>
          <t>"HuMooD ." &lt;mr.humood@hotmail.com&gt;</t>
        </is>
      </c>
      <c r="B220" s="3" t="inlineStr">
        <is>
          <t>mr.humood@hotmail.com</t>
        </is>
      </c>
      <c r="C220" s="2" t="inlineStr"/>
      <c r="D220" s="2" t="inlineStr">
        <is>
          <t xml:space="preserve">Hello! How can we help you?  Report حمود فلورز- : 67757151  Sent from my iPhone </t>
        </is>
      </c>
      <c r="E220" s="4" t="inlineStr">
        <is>
          <t>67757151</t>
        </is>
      </c>
      <c r="F220" s="2" t="inlineStr">
        <is>
          <t>حمود فلورز-</t>
        </is>
      </c>
      <c r="G220" s="4" t="inlineStr">
        <is>
          <t>67757151</t>
        </is>
      </c>
    </row>
    <row r="221" ht="18" customHeight="1">
      <c r="A221" s="5">
        <f>?utf-8?B?2KfZhdmK2LHZhyDYp9mE2YXYt9mK2LHZig==?= &lt;mm-8q@hotmail.com&gt;</f>
        <v/>
      </c>
      <c r="B221" s="6" t="inlineStr">
        <is>
          <t>mm-8q@hotmail.com</t>
        </is>
      </c>
      <c r="C221" s="5">
        <f>?utf-8?B?2YXYs9itINin2YTYp9iz2YUg2K7Yt9in2KE=?=</f>
        <v/>
      </c>
      <c r="D221" s="5" t="inlineStr">
        <is>
          <t xml:space="preserve">Hello! How can we help you?  Report محمد نبيل2- : 96615047  الاسم غير صحيح يرجى مسح هذا الاسم ‫أُرسلت من الـ iPhone‬ </t>
        </is>
      </c>
      <c r="E221" s="7" t="inlineStr">
        <is>
          <t>96615047</t>
        </is>
      </c>
      <c r="F221" s="5" t="inlineStr">
        <is>
          <t>محمد نبيل2-</t>
        </is>
      </c>
      <c r="G221" s="7" t="inlineStr">
        <is>
          <t>96615047</t>
        </is>
      </c>
    </row>
    <row r="222" ht="18" customHeight="1">
      <c r="A222" s="2" t="inlineStr">
        <is>
          <t>FAISAL ALKHALEDI &lt;funny_kwt18@icloud.com&gt;</t>
        </is>
      </c>
      <c r="B222" s="3" t="inlineStr">
        <is>
          <t>funny_kwt18@icloud.com</t>
        </is>
      </c>
      <c r="C222" s="2">
        <f>?utf-8?B?2YrYsdis2Ykg2YXYs9itINmH2LDYpyDYp9mE2KrYudio2YrYsSA=?=  =?utf-8?B?2KfZhNi62YrYsSDZhNin2KbZgiDYqNmKIA==?=</f>
        <v/>
      </c>
      <c r="D222" s="2" t="inlineStr">
        <is>
          <t>Hello! How can we help you?  Report سكرتيره : 98033444   Sent from my iPhone</t>
        </is>
      </c>
      <c r="E222" s="4" t="inlineStr">
        <is>
          <t>98033444</t>
        </is>
      </c>
      <c r="F222" s="2" t="inlineStr">
        <is>
          <t>سكرتيره</t>
        </is>
      </c>
      <c r="G222" s="4" t="inlineStr">
        <is>
          <t>98033444</t>
        </is>
      </c>
    </row>
    <row r="223" ht="18" customHeight="1">
      <c r="A223" s="5" t="inlineStr">
        <is>
          <t>FAISAL ALKHALEDI &lt;funny_kwt18@icloud.com&gt;</t>
        </is>
      </c>
      <c r="B223" s="6" t="inlineStr">
        <is>
          <t>funny_kwt18@icloud.com</t>
        </is>
      </c>
      <c r="C223" s="5" t="inlineStr"/>
      <c r="D223" s="5" t="inlineStr">
        <is>
          <t xml:space="preserve">Hello! How can we help you?  Report فيصل الخالدي دي جي- : 99822444   Sent from my iPhoneيرجى مسح. هذا التعبير الغير لائق بي </t>
        </is>
      </c>
      <c r="E223" s="7" t="inlineStr">
        <is>
          <t>99822444</t>
        </is>
      </c>
      <c r="F223" s="5" t="inlineStr">
        <is>
          <t>فيصل الخالدي دي جي-</t>
        </is>
      </c>
      <c r="G223" s="7" t="inlineStr">
        <is>
          <t>99822444</t>
        </is>
      </c>
    </row>
    <row r="224" ht="18" customHeight="1">
      <c r="A224" s="2" t="inlineStr">
        <is>
          <t>FAISAL ALKHALEDI &lt;funny_kwt18@icloud.com&gt;</t>
        </is>
      </c>
      <c r="B224" s="3" t="inlineStr">
        <is>
          <t>funny_kwt18@icloud.com</t>
        </is>
      </c>
      <c r="C224" s="2" t="inlineStr">
        <is>
          <t>!!!!!!!</t>
        </is>
      </c>
      <c r="D224" s="2" t="inlineStr">
        <is>
          <t>Hello! How can we help you?  Report فيصل الخالدي دي جي- : 99822444   Sent from my iPhone</t>
        </is>
      </c>
      <c r="E224" s="4" t="inlineStr">
        <is>
          <t>99822444</t>
        </is>
      </c>
      <c r="F224" s="2" t="inlineStr">
        <is>
          <t>فيصل الخالدي دي جي-</t>
        </is>
      </c>
      <c r="G224" s="4" t="inlineStr">
        <is>
          <t>99822444</t>
        </is>
      </c>
    </row>
    <row r="225" ht="18" customHeight="1">
      <c r="A225" s="5" t="inlineStr">
        <is>
          <t>FAISAL ALKHALEDI &lt;funny_kwt18@icloud.com&gt;</t>
        </is>
      </c>
      <c r="B225" s="6" t="inlineStr">
        <is>
          <t>funny_kwt18@icloud.com</t>
        </is>
      </c>
      <c r="C225" s="5">
        <f>?utf-8?B?2YrYsdis2Ykg2YXYs9itINmH2LDYpyDYp9mE2KrYudmE2YrZgiA=?=  =?utf-8?B?2KfZhNiv2YrYrNmKINmE2KfZhtmKINmF2K3Yp9mF2Yog2YjZh9iw?=  =?utf-8?B?2Kcg2KfZhNin2LPZhSDYrti32Kcg2YjYs9mI2YEg2KfYqtiu2LAg?=  =?utf-8?B?2KfZhNin2KzYsdin2KHYp9iqINin2YTZgtin2YbZiNmG2YrYqSA=?=  =?utf-8?B?2YHZiiDYrdmC2YPZhSA=?=</f>
        <v/>
      </c>
      <c r="D225" s="5" t="inlineStr">
        <is>
          <t>Hello! How can we help you?  Report فيصل الخالدي دي جي- : 99822444   Sent from my iPhone</t>
        </is>
      </c>
      <c r="E225" s="7" t="inlineStr">
        <is>
          <t>99822444</t>
        </is>
      </c>
      <c r="F225" s="5" t="inlineStr">
        <is>
          <t>فيصل الخالدي دي جي-</t>
        </is>
      </c>
      <c r="G225" s="7" t="inlineStr">
        <is>
          <t>99822444</t>
        </is>
      </c>
    </row>
    <row r="226" ht="18" customHeight="1">
      <c r="A226" s="2" t="inlineStr">
        <is>
          <t>FAISAL ALKHALEDI &lt;funny_kwt18@icloud.com&gt;</t>
        </is>
      </c>
      <c r="B226" s="3" t="inlineStr">
        <is>
          <t>funny_kwt18@icloud.com</t>
        </is>
      </c>
      <c r="C226" s="2">
        <f>?utf-8?B?2YrYsdis2Yog2YXYs9itINmH2LDYpyDYp9mE2KrYudio2YrYsSA=?=  =?utf-8?B?2KfZhNi62YrYsSDZhNin2KbZgiDYqNmKINmE2KfZhtmKINmF2K0=?=  =?utf-8?B?2KfZhdmKICDZhNmE2KPZh9mF2YrYqSDYp9mE2YLYtdmI2Ykg?=</f>
        <v/>
      </c>
      <c r="D226" s="2" t="inlineStr">
        <is>
          <t>Hello! How can we help you?  Report فيصل الخالدي دي جي- : 99822444   Sent from my iPhone</t>
        </is>
      </c>
      <c r="E226" s="4" t="inlineStr">
        <is>
          <t>99822444</t>
        </is>
      </c>
      <c r="F226" s="2" t="inlineStr">
        <is>
          <t>فيصل الخالدي دي جي-</t>
        </is>
      </c>
      <c r="G226" s="4" t="inlineStr">
        <is>
          <t>99822444</t>
        </is>
      </c>
    </row>
    <row r="227" ht="18" customHeight="1">
      <c r="A227" s="5">
        <f>?utf-8?B?2YXYqNin2LHZgyDYp9mE2YfYp9is2LHZig==?= &lt;kentsaad977@gmail.com&gt;</f>
        <v/>
      </c>
      <c r="B227" s="6" t="inlineStr">
        <is>
          <t>kentsaad977@gmail.com</t>
        </is>
      </c>
      <c r="C227" s="5">
        <f>?utf-8?B?2KfYtNi32Kgg2YfYsNinINin2YTYp9iz2YUg2LbYsdmI2LHZiiA=?=  =?utf-8?B?2Iwg2YHZh9iw2Kcg2KfZhNin2LPZhSDZgdmK2Ycg2KXYs9in2KE=?=  =?utf-8?B?2Kkg2KjYp9mE2LrYqQ==?=</f>
        <v/>
      </c>
      <c r="D227" s="5" t="inlineStr">
        <is>
          <t>Hello! How can we help you?  Report وحده غبيه : 50335533   ‫أُرسلت من الـ iPhone‬</t>
        </is>
      </c>
      <c r="E227" s="7" t="inlineStr">
        <is>
          <t>50335533</t>
        </is>
      </c>
      <c r="F227" s="5" t="inlineStr">
        <is>
          <t>وحده غبيه</t>
        </is>
      </c>
      <c r="G227" s="7" t="inlineStr">
        <is>
          <t>50335533</t>
        </is>
      </c>
    </row>
    <row r="228" ht="18" customHeight="1">
      <c r="A228" s="2">
        <f>?UTF-8?B?2KfYrdmF2K8g2KzYudmB2LE=?= &lt;bo6ayob@gmail.com&gt;</f>
        <v/>
      </c>
      <c r="B228" s="3" t="inlineStr">
        <is>
          <t>bo6ayob@gmail.com</t>
        </is>
      </c>
      <c r="C228" s="2">
        <f>?UTF-8?B?RndkOiDYp9mE2LHYrNin2KEg2YXYs9itINin2YTYp9iz2YU=?=</f>
        <v/>
      </c>
      <c r="D228" s="2" t="inlineStr">
        <is>
          <t xml:space="preserve">يعطيكم العافيه امي ارسلت ايميل لكم بس مافي تواصل اتمنى من اداره البرنامج بحل هالمشكله ولي الحق باتخاذ كافه الاجراءات القانونيه بهذا الخصوص  ---------- Forwarded message --------- From: ‫احمد جعفر‬‎ &lt;bo6ayob@gmail.com&gt; Date: Tue, 21 Oct 2025 at 12:15 PM Subject: الرجاء مسح الاسم To: &lt;sales@menodag.com&gt;   Hello! How can we help you?  Report صاحب الفراري الاحمر الفندق شيشة : 98822231  السلام عليكم يعطيكم العافيه الغالي انا كنت متواصل معاكم قبل 4 سنوات بخصوص الاسماء اللي موجوده برقمي بالبرنامج وانمسحت وحاليا رجعت نفس الاسماء الموجوده اتمنى تنمسح البيانات لان اشتغل بمكان حساس واتمنى تنلغي وخاصتا في اسامي شبهه  ناطر تواصلكم  Sent from my iPhone </t>
        </is>
      </c>
      <c r="E228" s="4" t="inlineStr">
        <is>
          <t>98822231</t>
        </is>
      </c>
      <c r="F228" s="2" t="inlineStr">
        <is>
          <t>صاحب الفراري الاحمر الفندق شيشة</t>
        </is>
      </c>
      <c r="G228" s="4" t="inlineStr">
        <is>
          <t>98822231</t>
        </is>
      </c>
    </row>
    <row r="229" ht="18" customHeight="1">
      <c r="A229" s="5" t="inlineStr">
        <is>
          <t>fofo K &lt;pinkeshmoto@hotmail.com&gt;</t>
        </is>
      </c>
      <c r="B229" s="6" t="inlineStr">
        <is>
          <t>pinkeshmoto@hotmail.com</t>
        </is>
      </c>
      <c r="C229" s="5" t="inlineStr">
        <is>
          <t xml:space="preserve">Remove this please </t>
        </is>
      </c>
      <c r="D229" s="5" t="inlineStr">
        <is>
          <t xml:space="preserve">Hello! How can we help you?  Report Moo. Of Bue Marlin- : 60333933  Sent from my iPhone </t>
        </is>
      </c>
      <c r="E229" s="7" t="inlineStr">
        <is>
          <t>60333933</t>
        </is>
      </c>
      <c r="F229" s="5" t="inlineStr">
        <is>
          <t>Moo. Of Bue Marlin-</t>
        </is>
      </c>
      <c r="G229" s="7" t="inlineStr">
        <is>
          <t>60333933</t>
        </is>
      </c>
    </row>
    <row r="230" ht="18" customHeight="1">
      <c r="A230" s="2" t="inlineStr">
        <is>
          <t>M21-Kw ! &lt;omar11226644@gmail.com&gt;</t>
        </is>
      </c>
      <c r="B230" s="3" t="inlineStr">
        <is>
          <t>omar11226644@gmail.com</t>
        </is>
      </c>
      <c r="C230" s="2" t="inlineStr">
        <is>
          <t xml:space="preserve">Delete </t>
        </is>
      </c>
      <c r="D230" s="2" t="inlineStr">
        <is>
          <t>Hello! How can we help you?  Report Bbbods : 51037774   Sent from my iPhone</t>
        </is>
      </c>
      <c r="E230" s="4" t="inlineStr">
        <is>
          <t>51037774</t>
        </is>
      </c>
      <c r="F230" s="2" t="inlineStr">
        <is>
          <t>Bbbods</t>
        </is>
      </c>
      <c r="G230" s="4" t="inlineStr">
        <is>
          <t>51037774</t>
        </is>
      </c>
    </row>
    <row r="231" ht="18" customHeight="1">
      <c r="A231" s="5" t="inlineStr">
        <is>
          <t>M21-Kw ! &lt;omar11226644@gmail.com&gt;</t>
        </is>
      </c>
      <c r="B231" s="6" t="inlineStr">
        <is>
          <t>omar11226644@gmail.com</t>
        </is>
      </c>
      <c r="C231" s="5">
        <f>?utf-8?B?2YrYsdis2Ykg2KfZhNit2LDZgSDYqNmK2KfZhtin2Kog2LTYrti1?=  =?utf-8?B?2YrZhw==?=</f>
        <v/>
      </c>
      <c r="D231" s="5" t="inlineStr">
        <is>
          <t>Hello! How can we help you?  Report زبون السرة ق3 ش2 م2 ❌❌❌ : 51037774   Sent from my iPhone</t>
        </is>
      </c>
      <c r="E231" s="7" t="inlineStr">
        <is>
          <t>51037774</t>
        </is>
      </c>
      <c r="F231" s="5" t="inlineStr">
        <is>
          <t>زبون السرة ق3 ش2 م2 ❌❌❌</t>
        </is>
      </c>
      <c r="G231" s="7" t="inlineStr">
        <is>
          <t>51037774</t>
        </is>
      </c>
    </row>
    <row r="232" ht="18" customHeight="1">
      <c r="A232" s="2" t="inlineStr">
        <is>
          <t>Rasha Reda &lt;rashalibra21@icloud.com&gt;</t>
        </is>
      </c>
      <c r="B232" s="3" t="inlineStr">
        <is>
          <t>rashalibra21@icloud.com</t>
        </is>
      </c>
      <c r="C232" s="2" t="inlineStr"/>
      <c r="D232" s="2" t="inlineStr">
        <is>
          <t>Hello! How can we help you?  Report Driver : 97985806   Sent from my iPhone ب حذف/تصحيح اسم من قاعدة بيانات منو داق   السلام عليكم،    أطلب منكم حذف/تصحيح السجل التالي في تطبيق منو داق:  - الاسم في التطبيق: [اكتب الاسم كما يظهر]  - رقم الهاتف المرتبط: [اكتب رقم الهاتف]  - سبب الطلب: [خطأ في الاسم / إساءة / انتهاك خصوصية / إلخ]    أرفقت لقطة شاشة توضح السجل. أرجو تأكيد الاستلام وإعلامي بموعد تقريبِي لتنفيذ الحجْز أو الحذف، وما إذا كنتم بحاجة لمعلومات إضافية.    تحياتي،  [اسمك] — رشا</t>
        </is>
      </c>
      <c r="E232" s="4" t="inlineStr">
        <is>
          <t>97985806</t>
        </is>
      </c>
      <c r="F232" s="2" t="inlineStr">
        <is>
          <t>Driver</t>
        </is>
      </c>
      <c r="G232" s="4" t="inlineStr">
        <is>
          <t>97985806</t>
        </is>
      </c>
    </row>
    <row r="233" ht="18" customHeight="1">
      <c r="A233" s="5" t="inlineStr">
        <is>
          <t>"=?utf-8?B?2KvYp9mF2LEg2KfZhNmB2LbZhNmK?=" &lt;thamralsnad@gmail.com&gt;</t>
        </is>
      </c>
      <c r="B233" s="6" t="inlineStr">
        <is>
          <t>thamralsnad@gmail.com</t>
        </is>
      </c>
      <c r="C233" s="5" t="inlineStr"/>
      <c r="D233" s="5" t="inlineStr">
        <is>
          <t>Hello! How can we help you?  Report ثامر براك سعيد سناد : 99716340   ‫أُرسلت من الـ iPhone‬</t>
        </is>
      </c>
      <c r="E233" s="7" t="inlineStr">
        <is>
          <t>99716340</t>
        </is>
      </c>
      <c r="F233" s="5" t="inlineStr">
        <is>
          <t>ثامر براك سعيد سناد</t>
        </is>
      </c>
      <c r="G233" s="7" t="inlineStr">
        <is>
          <t>99716340</t>
        </is>
      </c>
    </row>
    <row r="234" ht="18" customHeight="1">
      <c r="A234" s="2" t="inlineStr">
        <is>
          <t>HADI ALHAJERI &lt;hadi.q8@hotmail.com&gt;</t>
        </is>
      </c>
      <c r="B234" s="3" t="inlineStr">
        <is>
          <t>hadi.q8@hotmail.com</t>
        </is>
      </c>
      <c r="C234" s="2" t="inlineStr"/>
      <c r="D234" s="2" t="inlineStr">
        <is>
          <t xml:space="preserve">Hello! How can we help you?  Report مشعل قيقا الهاجري- : 66111963 </t>
        </is>
      </c>
      <c r="E234" s="4" t="inlineStr">
        <is>
          <t>66111963</t>
        </is>
      </c>
      <c r="F234" s="2" t="inlineStr">
        <is>
          <t>مشعل قيقا الهاجري-</t>
        </is>
      </c>
      <c r="G234" s="4" t="inlineStr">
        <is>
          <t>66111963</t>
        </is>
      </c>
    </row>
    <row r="235" ht="18" customHeight="1">
      <c r="A235" s="5" t="inlineStr">
        <is>
          <t>mona ali &lt;rokayaelyacoubi2018@icloud.com&gt;</t>
        </is>
      </c>
      <c r="B235" s="6" t="inlineStr">
        <is>
          <t>rokayaelyacoubi2018@icloud.com</t>
        </is>
      </c>
      <c r="C235" s="5">
        <f>?utf-8?B?2LTZitmE2YjYpyDYsdmC2YXZhdmF2YU=?=</f>
        <v/>
      </c>
      <c r="D235" s="5" t="inlineStr">
        <is>
          <t>Hello! How can we help you?  Report تهاني ابريم- : 99305789   ‫أُرسلت من الـ iPhone‬</t>
        </is>
      </c>
      <c r="E235" s="7" t="inlineStr">
        <is>
          <t>99305789</t>
        </is>
      </c>
      <c r="F235" s="5" t="inlineStr">
        <is>
          <t>تهاني ابريم-</t>
        </is>
      </c>
      <c r="G235" s="7" t="inlineStr">
        <is>
          <t>99305789</t>
        </is>
      </c>
    </row>
    <row r="236" ht="18" customHeight="1">
      <c r="A236" s="2" t="inlineStr">
        <is>
          <t>mona ali &lt;rokayaelyacoubi2018@icloud.com&gt;</t>
        </is>
      </c>
      <c r="B236" s="3" t="inlineStr">
        <is>
          <t>rokayaelyacoubi2018@icloud.com</t>
        </is>
      </c>
      <c r="C236" s="2">
        <f>?utf-8?B?2LTZitmE2YjYpyDYp9mE2LHZgtmF2YXZhdmF2YXZhQ==?=</f>
        <v/>
      </c>
      <c r="D236" s="2" t="inlineStr">
        <is>
          <t>Hello! How can we help you?  Report تهاني ابريم- : 99305789   ‫أُرسلت من الـ iPhone‬</t>
        </is>
      </c>
      <c r="E236" s="4" t="inlineStr">
        <is>
          <t>99305789</t>
        </is>
      </c>
      <c r="F236" s="2" t="inlineStr">
        <is>
          <t>تهاني ابريم-</t>
        </is>
      </c>
      <c r="G236" s="4" t="inlineStr">
        <is>
          <t>99305789</t>
        </is>
      </c>
    </row>
    <row r="237" ht="18" customHeight="1">
      <c r="A237" s="5" t="inlineStr">
        <is>
          <t>Sanaa Alshammri &lt;alshammrisanaa@gmail.com&gt;</t>
        </is>
      </c>
      <c r="B237" s="6" t="inlineStr">
        <is>
          <t>alshammrisanaa@gmail.com</t>
        </is>
      </c>
      <c r="C237" s="5" t="inlineStr">
        <is>
          <t>Remove</t>
        </is>
      </c>
      <c r="D237" s="5" t="inlineStr">
        <is>
          <t>Hello! How can we help you?  Report تبي بيت سعد العبدالله من طرف بوبدر : 52220042   Sent from my iPhone</t>
        </is>
      </c>
      <c r="E237" s="7" t="inlineStr">
        <is>
          <t>52220042</t>
        </is>
      </c>
      <c r="F237" s="5" t="inlineStr">
        <is>
          <t>تبي بيت سعد العبدالله من طرف بوبدر</t>
        </is>
      </c>
      <c r="G237" s="7" t="inlineStr">
        <is>
          <t>52220042</t>
        </is>
      </c>
    </row>
    <row r="238" ht="18" customHeight="1">
      <c r="A238" s="2" t="inlineStr">
        <is>
          <t>khalidwalidalomar@gmail.com</t>
        </is>
      </c>
      <c r="B238" s="3" t="inlineStr">
        <is>
          <t>khalidwalidalomar@gmail.com</t>
        </is>
      </c>
      <c r="C238" s="2" t="inlineStr"/>
      <c r="D238" s="2" t="inlineStr">
        <is>
          <t>Hello! How can we help you?  Report زبون الرقة : 69662891   Sent from my iPhone</t>
        </is>
      </c>
      <c r="E238" s="4" t="inlineStr">
        <is>
          <t>69662891</t>
        </is>
      </c>
      <c r="F238" s="2" t="inlineStr">
        <is>
          <t>زبون الرقة</t>
        </is>
      </c>
      <c r="G238" s="4" t="inlineStr">
        <is>
          <t>69662891</t>
        </is>
      </c>
    </row>
    <row r="239" ht="18" customHeight="1">
      <c r="A239" s="5" t="inlineStr">
        <is>
          <t>abdullah ala &lt;amhq819@gmail.com&gt;</t>
        </is>
      </c>
      <c r="B239" s="6" t="inlineStr">
        <is>
          <t>amhq819@gmail.com</t>
        </is>
      </c>
      <c r="C239" s="5">
        <f>?utf-8?B?2KfZhNin2LPZhSDZitin2LDZitmG2Yog2YTZiCDYs9mF2K3YqtmI?=  =?utf-8?B?2Kcg2YXYp9ix2LbZiSDYqti52LHYttmI2YYg2YfYp9mE2LTZig==?=</f>
        <v/>
      </c>
      <c r="D239" s="5" t="inlineStr">
        <is>
          <t>Hello! How can we help you?  Report عبد الله محمد شنط -سوري : 55797589   ‫أُرسلت من الـ iPhone‬</t>
        </is>
      </c>
      <c r="E239" s="7" t="inlineStr">
        <is>
          <t>55797589</t>
        </is>
      </c>
      <c r="F239" s="5" t="inlineStr">
        <is>
          <t>عبد الله محمد شنط -سوري</t>
        </is>
      </c>
      <c r="G239" s="7" t="inlineStr">
        <is>
          <t>55797589</t>
        </is>
      </c>
    </row>
    <row r="240" ht="18" customHeight="1">
      <c r="A240" s="2" t="inlineStr">
        <is>
          <t>h h &lt;kaldfhd5@gmail.com&gt;</t>
        </is>
      </c>
      <c r="B240" s="3" t="inlineStr">
        <is>
          <t>kaldfhd5@gmail.com</t>
        </is>
      </c>
      <c r="C240" s="2" t="inlineStr"/>
      <c r="D240" s="2" t="inlineStr">
        <is>
          <t>Hello! How can we help you?  Report خالد المطي2 : 51330609   Sent from my iPhone</t>
        </is>
      </c>
      <c r="E240" s="4" t="inlineStr">
        <is>
          <t>51330609</t>
        </is>
      </c>
      <c r="F240" s="2" t="inlineStr">
        <is>
          <t>خالد المطي2</t>
        </is>
      </c>
      <c r="G240" s="4" t="inlineStr">
        <is>
          <t>51330609</t>
        </is>
      </c>
    </row>
    <row r="241" ht="18" customHeight="1">
      <c r="A241" s="5" t="inlineStr">
        <is>
          <t>MOHAMMAD GHOLOUM &lt;infamous88@icloud.com&gt;</t>
        </is>
      </c>
      <c r="B241" s="6" t="inlineStr">
        <is>
          <t>infamous88@icloud.com</t>
        </is>
      </c>
      <c r="C241" s="5" t="inlineStr"/>
      <c r="D241" s="5" t="inlineStr">
        <is>
          <t>Hello! How can we help you?  Report يعتدي ع خدم بيان ق6م7 ش21 : 90926277   ‫أُرسلت من الـ iPhone‬</t>
        </is>
      </c>
      <c r="E241" s="7" t="inlineStr">
        <is>
          <t>90926277</t>
        </is>
      </c>
      <c r="F241" s="5" t="inlineStr">
        <is>
          <t>يعتدي ع خدم بيان ق6م7 ش21</t>
        </is>
      </c>
      <c r="G241" s="7" t="inlineStr">
        <is>
          <t>90926277</t>
        </is>
      </c>
    </row>
    <row r="242" ht="18" customHeight="1">
      <c r="A242" s="2" t="inlineStr">
        <is>
          <t>khaled alrashidi &lt;q8_8888@hotmail.com&gt;</t>
        </is>
      </c>
      <c r="B242" s="3" t="inlineStr">
        <is>
          <t>q8_8888@hotmail.com</t>
        </is>
      </c>
      <c r="C242" s="2">
        <f>?utf-8?B?2YXYs9mF2YrZhtmKINio2YbYqiDYp9mE2LHYrNin2KEg2YXYs9itINin2YQ=?=  =?utf-8?B?2KfYs9mF?=</f>
        <v/>
      </c>
      <c r="D242" s="2" t="inlineStr">
        <is>
          <t xml:space="preserve">Hello! How can we help you?  Report Norah-Abdullah : 99228998  ‫أُرسلت من الـ iPhone‬ </t>
        </is>
      </c>
      <c r="E242" s="4" t="inlineStr">
        <is>
          <t>99228998</t>
        </is>
      </c>
      <c r="F242" s="2" t="inlineStr">
        <is>
          <t>Norah-Abdullah</t>
        </is>
      </c>
      <c r="G242" s="4" t="inlineStr">
        <is>
          <t>99228998</t>
        </is>
      </c>
    </row>
    <row r="243" ht="18" customHeight="1">
      <c r="A243" s="5" t="inlineStr">
        <is>
          <t>khaled alrashidi &lt;q8_8888@hotmail.com&gt;</t>
        </is>
      </c>
      <c r="B243" s="6" t="inlineStr">
        <is>
          <t>q8_8888@hotmail.com</t>
        </is>
      </c>
      <c r="C243" s="5">
        <f>?utf-8?B?2YXYudmE2YjZhdin2KrZiiDYudmG2YjYp9mG2Yog2YXZhdmG2YjYuSDZiti3?=  =?utf-8?B?2YTYuSDYqNi02KrZg9mK?=</f>
        <v/>
      </c>
      <c r="D243" s="5" t="inlineStr">
        <is>
          <t xml:space="preserve">Hello! How can we help you?  Report صباح سالم ق 11 ش2 ج 3 م6 ابو براهيم : 99228998  ‫أُرسلت من الـ iPhone‬ </t>
        </is>
      </c>
      <c r="E243" s="7" t="inlineStr">
        <is>
          <t>99228998</t>
        </is>
      </c>
      <c r="F243" s="5" t="inlineStr">
        <is>
          <t>صباح سالم ق 11 ش2 ج 3 م6 ابو براهيم</t>
        </is>
      </c>
      <c r="G243" s="7" t="inlineStr">
        <is>
          <t>99228998</t>
        </is>
      </c>
    </row>
    <row r="244" ht="18" customHeight="1">
      <c r="A244" s="2" t="inlineStr">
        <is>
          <t>Essa Alrashidi &lt;essaalrashidi18@gmail.com&gt;</t>
        </is>
      </c>
      <c r="B244" s="3" t="inlineStr">
        <is>
          <t>essaalrashidi18@gmail.com</t>
        </is>
      </c>
      <c r="C244" s="2">
        <f>?utf-8?B?2KfYs9mFINmF2LnZitio?=</f>
        <v/>
      </c>
      <c r="D244" s="2" t="inlineStr">
        <is>
          <t>Hello! How can we help you?  Report خدامه القسم : 50778100   ‫أُرسلت من الـ iPhone‬</t>
        </is>
      </c>
      <c r="E244" s="4" t="inlineStr">
        <is>
          <t>50778100</t>
        </is>
      </c>
      <c r="F244" s="2" t="inlineStr">
        <is>
          <t>خدامه القسم</t>
        </is>
      </c>
      <c r="G244" s="4" t="inlineStr">
        <is>
          <t>50778100</t>
        </is>
      </c>
    </row>
    <row r="245" ht="18" customHeight="1">
      <c r="A245" s="5">
        <f>?utf-8?B?4oCr2KfYrdmF2K8g2KzYudmB2LHigKzigI4=?= &lt;bo6ayob@gmail.com&gt;</f>
        <v/>
      </c>
      <c r="B245" s="6" t="inlineStr">
        <is>
          <t>bo6ayob@gmail.com</t>
        </is>
      </c>
      <c r="C245" s="5">
        <f>?utf-8?B?2KfZhNix2KzYp9ihINmF2LPYrSDYp9mE2KfYs9mF?=</f>
        <v/>
      </c>
      <c r="D245" s="5" t="inlineStr">
        <is>
          <t>Hello! How can we help you?  Report صاحب الفراري الاحمر الفندق شيشة : 98822231   السلام عليكم يعطيكم العافيه الغالي انا كنت متواصل معاكم قبل 4 سنوات بخصوص الاسماء اللي موجوده برقمي بالبرنامج وانمسحت وحاليا رجعت نفس الاسماء الموجوده اتمنى تنمسح البيانات لان اشتغل بمكان حساس واتمنى تنلغي وخاصتا في اسامي شبهه  ناطر تواصلكم  Sent from my iPhone</t>
        </is>
      </c>
      <c r="E245" s="7" t="inlineStr">
        <is>
          <t>98822231</t>
        </is>
      </c>
      <c r="F245" s="5" t="inlineStr">
        <is>
          <t>صاحب الفراري الاحمر الفندق شيشة</t>
        </is>
      </c>
      <c r="G245" s="7" t="inlineStr">
        <is>
          <t>98822231</t>
        </is>
      </c>
    </row>
    <row r="246" ht="18" customHeight="1">
      <c r="A246" s="2">
        <f>?utf-8?B?4oCr2KfYrdmF2K8g2KzYudmB2LHigKzigI4=?= &lt;bo6ayob@gmail.com&gt;</f>
        <v/>
      </c>
      <c r="B246" s="3" t="inlineStr">
        <is>
          <t>bo6ayob@gmail.com</t>
        </is>
      </c>
      <c r="C246" s="2" t="inlineStr"/>
      <c r="D246" s="2" t="inlineStr">
        <is>
          <t>Hello! How can we help you?  Report صاحب الفراري الاحمر الفندق شيشة : 98822231  السلام عليكم يعطيكم العافيه الغالي انا كنت متواصل معاكم قبل 4 سنوات بخصوص الاسماء اللي موجوده برقمي بالبرنامج وانمسحت وحاليا رجعت نفس الاسماء الموجوده اتمنى تنمسح البيانات لان اشتغل بمكان حساس واتمنى تنلغي وخاصتا في اسامي شبهه  ناطر تواصلكم Sent from my iPhone</t>
        </is>
      </c>
      <c r="E246" s="4" t="inlineStr">
        <is>
          <t>98822231</t>
        </is>
      </c>
      <c r="F246" s="2" t="inlineStr">
        <is>
          <t>صاحب الفراري الاحمر الفندق شيشة</t>
        </is>
      </c>
      <c r="G246" s="4" t="inlineStr">
        <is>
          <t>98822231</t>
        </is>
      </c>
    </row>
    <row r="247" ht="18" customHeight="1">
      <c r="A247" s="5" t="inlineStr">
        <is>
          <t>Farraj Alajmii &lt;farrajalajmii@gmail.com&gt;</t>
        </is>
      </c>
      <c r="B247" s="6" t="inlineStr">
        <is>
          <t>farrajalajmii@gmail.com</t>
        </is>
      </c>
      <c r="C247" s="5" t="inlineStr"/>
      <c r="D247" s="5" t="inlineStr">
        <is>
          <t>Hello! How can we help you?  Report الحب الاول والاخي : 52555845   ‫أُرسلت من الـ iPhone‬</t>
        </is>
      </c>
      <c r="E247" s="7" t="inlineStr">
        <is>
          <t>52555845</t>
        </is>
      </c>
      <c r="F247" s="5" t="inlineStr">
        <is>
          <t>الحب الاول والاخي</t>
        </is>
      </c>
      <c r="G247" s="7" t="inlineStr">
        <is>
          <t>52555845</t>
        </is>
      </c>
    </row>
    <row r="248" ht="18" customHeight="1">
      <c r="A248" s="2" t="inlineStr">
        <is>
          <t>doody ajmi &lt;dooooodyajmii@gmail.com&gt;</t>
        </is>
      </c>
      <c r="B248" s="3" t="inlineStr">
        <is>
          <t>dooooodyajmii@gmail.com</t>
        </is>
      </c>
      <c r="C248" s="2">
        <f>?utf-8?B?2KfYs9mFINi62YTYuCDYutmK2LEg2YXZgtio2YjZhCDZgdmK2Yc=?=</f>
        <v/>
      </c>
      <c r="D248" s="2" t="inlineStr">
        <is>
          <t>Hello! How can we help you?  Report حلو لقيمات و صب : 50553090   ‫أُرسلت من الـ iPhone‬</t>
        </is>
      </c>
      <c r="E248" s="4" t="inlineStr">
        <is>
          <t>50553090</t>
        </is>
      </c>
      <c r="F248" s="2" t="inlineStr">
        <is>
          <t>حلو لقيمات و صب</t>
        </is>
      </c>
      <c r="G248" s="4" t="inlineStr">
        <is>
          <t>50553090</t>
        </is>
      </c>
    </row>
    <row r="249" ht="18" customHeight="1">
      <c r="A249" s="5">
        <f>?utf-8?B?2YbZiNin2YEg2KfZhNmF2LfZitix2Yo=?= &lt;smsong65850505@gmail.com&gt;</f>
        <v/>
      </c>
      <c r="B249" s="6" t="inlineStr">
        <is>
          <t>smsong65850505@gmail.com</t>
        </is>
      </c>
      <c r="C249" s="5">
        <f>?utf-8?B?2YHZitmHINi62YTYtw==?=</f>
        <v/>
      </c>
      <c r="D249" s="5" t="inlineStr">
        <is>
          <t>Hello! How can we help you?  Report سايق نواف سالم المطيري دوام : 65850505   ‫أُرسلت من الـ iPhone‬</t>
        </is>
      </c>
      <c r="E249" s="7" t="inlineStr">
        <is>
          <t>65850505</t>
        </is>
      </c>
      <c r="F249" s="5" t="inlineStr">
        <is>
          <t>سايق نواف سالم المطيري دوام</t>
        </is>
      </c>
      <c r="G249" s="7" t="inlineStr">
        <is>
          <t>65850505</t>
        </is>
      </c>
    </row>
    <row r="250" ht="18" customHeight="1">
      <c r="A250" s="2">
        <f>?utf-8?B?2LnYqNiv2KfZhNix2K3ZhdmGINmF2LPYp9i52K8=?= &lt;lawyer.alhuwaishel93@gmail.com&gt;</f>
        <v/>
      </c>
      <c r="B250" s="3" t="inlineStr">
        <is>
          <t>lawyer.alhuwaishel93@gmail.com</t>
        </is>
      </c>
      <c r="C250" s="2" t="inlineStr">
        <is>
          <t>Report</t>
        </is>
      </c>
      <c r="D250" s="2" t="inlineStr">
        <is>
          <t>Hello! How can we help you?  Report مص42 : 66650406   Sent from my iPhone</t>
        </is>
      </c>
      <c r="E250" s="4" t="inlineStr">
        <is>
          <t>66650406</t>
        </is>
      </c>
      <c r="F250" s="2" t="inlineStr">
        <is>
          <t>مص42</t>
        </is>
      </c>
      <c r="G250" s="4" t="inlineStr">
        <is>
          <t>66650406</t>
        </is>
      </c>
    </row>
    <row r="251" ht="18" customHeight="1">
      <c r="A251" s="5">
        <f>?utf-8?B?2LnYqNiv2KfZhNix2K3ZhdmGINmF2LPYp9i52K8=?= &lt;lawyer.alhuwaishel93@gmail.com&gt;</f>
        <v/>
      </c>
      <c r="B251" s="6" t="inlineStr">
        <is>
          <t>lawyer.alhuwaishel93@gmail.com</t>
        </is>
      </c>
      <c r="C251" s="5" t="inlineStr">
        <is>
          <t>Report</t>
        </is>
      </c>
      <c r="D251" s="5" t="inlineStr">
        <is>
          <t>Hello! How can we help you?  Report متابع المحامي : 66650406   Sent from my iPhone</t>
        </is>
      </c>
      <c r="E251" s="7" t="inlineStr">
        <is>
          <t>66650406</t>
        </is>
      </c>
      <c r="F251" s="5" t="inlineStr">
        <is>
          <t>متابع المحامي</t>
        </is>
      </c>
      <c r="G251" s="7" t="inlineStr">
        <is>
          <t>66650406</t>
        </is>
      </c>
    </row>
    <row r="252" ht="18" customHeight="1">
      <c r="A252" s="2">
        <f>?utf-8?B?2LnYqNiv2KfZhNix2K3ZhdmGINmF2LPYp9i52K8=?= &lt;lawyer.alhuwaishel93@gmail.com&gt;</f>
        <v/>
      </c>
      <c r="B252" s="3" t="inlineStr">
        <is>
          <t>lawyer.alhuwaishel93@gmail.com</t>
        </is>
      </c>
      <c r="C252" s="2" t="inlineStr">
        <is>
          <t>Report</t>
        </is>
      </c>
      <c r="D252" s="2" t="inlineStr">
        <is>
          <t>Hello! How can we help you?  Report محامي بند القار : 66650406   Sent from my iPhone</t>
        </is>
      </c>
      <c r="E252" s="4" t="inlineStr">
        <is>
          <t>66650406</t>
        </is>
      </c>
      <c r="F252" s="2" t="inlineStr">
        <is>
          <t>محامي بند القار</t>
        </is>
      </c>
      <c r="G252" s="4" t="inlineStr">
        <is>
          <t>66650406</t>
        </is>
      </c>
    </row>
    <row r="253" ht="18" customHeight="1">
      <c r="A253" s="5" t="inlineStr">
        <is>
          <t>Hessa Albannaq &lt;hessaalbannaq@gmail.com&gt;</t>
        </is>
      </c>
      <c r="B253" s="6" t="inlineStr">
        <is>
          <t>hessaalbannaq@gmail.com</t>
        </is>
      </c>
      <c r="C253" s="5" t="inlineStr"/>
      <c r="D253" s="5" t="inlineStr">
        <is>
          <t xml:space="preserve">Hello! How can we help you?  Report Sx : 51154321  Please remove this name if possible!!   ( Sx ) !   I don’t know why would someone save my number like this   </t>
        </is>
      </c>
      <c r="E253" s="7" t="inlineStr">
        <is>
          <t>51154321</t>
        </is>
      </c>
      <c r="F253" s="5" t="inlineStr">
        <is>
          <t>Sx</t>
        </is>
      </c>
      <c r="G253" s="7" t="inlineStr">
        <is>
          <t>51154321</t>
        </is>
      </c>
    </row>
    <row r="254" ht="18" customHeight="1">
      <c r="A254" s="2" t="inlineStr">
        <is>
          <t>Shooq alsuwait &lt;agleeh1@hotmail.com&gt;</t>
        </is>
      </c>
      <c r="B254" s="3" t="inlineStr">
        <is>
          <t>agleeh1@hotmail.com</t>
        </is>
      </c>
      <c r="C254" s="2">
        <f>?utf-8?B?2LbYsdmI2LHZiiAhISEhISEhIQ==?=</f>
        <v/>
      </c>
      <c r="D254" s="2" t="inlineStr">
        <is>
          <t xml:space="preserve">Hello! How can we help you?  Report الصليبية ق3 : 99190947  الرجاء ازالة هذا الاسم ( الصليبية قطعة 3 ) سبب مشاكل عائلية وارسل لكم اكثر من مرة دون استجابة ضروري ‫أُرسلت من الـ iPhone‬ </t>
        </is>
      </c>
      <c r="E254" s="4" t="inlineStr">
        <is>
          <t>99190947</t>
        </is>
      </c>
      <c r="F254" s="2" t="inlineStr">
        <is>
          <t>الصليبية ق3</t>
        </is>
      </c>
      <c r="G254" s="4" t="inlineStr">
        <is>
          <t>99190947</t>
        </is>
      </c>
    </row>
    <row r="255" ht="18" customHeight="1">
      <c r="A255" s="5">
        <f>?utf-8?B?2YHZh9ivINin2YTZhdi32YrYsdmK?= &lt;alyom732@gmail.com&gt;</f>
        <v/>
      </c>
      <c r="B255" s="6" t="inlineStr">
        <is>
          <t>alyom732@gmail.com</t>
        </is>
      </c>
      <c r="C255" s="5" t="inlineStr">
        <is>
          <t>Re: Bad name</t>
        </is>
      </c>
      <c r="D255" s="5" t="inlineStr">
        <is>
          <t xml:space="preserve">I want to delete a bad number  ‫أُرسلت من الـ iPhone‬  &gt; ‫في 20‏/10‏/2025 الساعة 5:20 م، كتب/كتبت ‏فهد المطيري ‏&lt;alyom732@gmail.com&gt;:‬ &gt;  &gt; ﻿ &gt; Hello! How can we help you? &gt;  &gt; Report بلبولج حلو : 50555383 &gt;  &gt;  &gt;  &gt; ‫أُرسلت من الـ iPhone‬ </t>
        </is>
      </c>
      <c r="E255" s="7" t="inlineStr">
        <is>
          <t>50555383</t>
        </is>
      </c>
      <c r="F255" s="5" t="inlineStr">
        <is>
          <t>بلبولج حلو</t>
        </is>
      </c>
      <c r="G255" s="7" t="inlineStr">
        <is>
          <t>50555383</t>
        </is>
      </c>
    </row>
    <row r="256" ht="18" customHeight="1">
      <c r="A256" s="2">
        <f>?utf-8?B?2YHZh9ivINin2YTZhdi32YrYsdmK?= &lt;alyom732@gmail.com&gt;</f>
        <v/>
      </c>
      <c r="B256" s="3" t="inlineStr">
        <is>
          <t>alyom732@gmail.com</t>
        </is>
      </c>
      <c r="C256" s="2" t="inlineStr">
        <is>
          <t xml:space="preserve">Because bad names </t>
        </is>
      </c>
      <c r="D256" s="2" t="inlineStr">
        <is>
          <t>Hello! How can we help you?  Report بلبولج حلو : 50555383    ‫أُرسلت من الـ iPhone‬</t>
        </is>
      </c>
      <c r="E256" s="4" t="inlineStr">
        <is>
          <t>50555383</t>
        </is>
      </c>
      <c r="F256" s="2" t="inlineStr">
        <is>
          <t>بلبولج حلو</t>
        </is>
      </c>
      <c r="G256" s="4" t="inlineStr">
        <is>
          <t>50555383</t>
        </is>
      </c>
    </row>
    <row r="257" ht="18" customHeight="1">
      <c r="A257" s="5">
        <f>?utf-8?B?2YHZh9ivINin2YTZhdi32YrYsdmK?= &lt;alyom732@gmail.com&gt;</f>
        <v/>
      </c>
      <c r="B257" s="6" t="inlineStr">
        <is>
          <t>alyom732@gmail.com</t>
        </is>
      </c>
      <c r="C257" s="5" t="inlineStr">
        <is>
          <t>Bad name</t>
        </is>
      </c>
      <c r="D257" s="5" t="inlineStr">
        <is>
          <t>Hello! How can we help you?  Report بلبولج حلو : 50555383    ‫أُرسلت من الـ iPhone‬</t>
        </is>
      </c>
      <c r="E257" s="7" t="inlineStr">
        <is>
          <t>50555383</t>
        </is>
      </c>
      <c r="F257" s="5" t="inlineStr">
        <is>
          <t>بلبولج حلو</t>
        </is>
      </c>
      <c r="G257" s="7" t="inlineStr">
        <is>
          <t>50555383</t>
        </is>
      </c>
    </row>
    <row r="258" ht="18" customHeight="1">
      <c r="A258" s="2" t="inlineStr">
        <is>
          <t>Mariam Mohsen &lt;maryo0omys96s@icloud.com&gt;</t>
        </is>
      </c>
      <c r="B258" s="3" t="inlineStr">
        <is>
          <t>maryo0omys96s@icloud.com</t>
        </is>
      </c>
      <c r="C258" s="2" t="inlineStr"/>
      <c r="D258" s="2" t="inlineStr">
        <is>
          <t>Hello! How can we help you?  Report مريم ابراهيم سرحان : 56566603    ‫أُرسلت من الـ iPhone‬</t>
        </is>
      </c>
      <c r="E258" s="4" t="inlineStr">
        <is>
          <t>56566603</t>
        </is>
      </c>
      <c r="F258" s="2" t="inlineStr">
        <is>
          <t>مريم ابراهيم سرحان</t>
        </is>
      </c>
      <c r="G258" s="4" t="inlineStr">
        <is>
          <t>56566603</t>
        </is>
      </c>
    </row>
    <row r="259" ht="18" customHeight="1">
      <c r="A259" s="5" t="inlineStr">
        <is>
          <t>Abdulaziz Alsharif &lt;kwpromax@gmail.com&gt;</t>
        </is>
      </c>
      <c r="B259" s="6" t="inlineStr">
        <is>
          <t>kwpromax@gmail.com</t>
        </is>
      </c>
      <c r="C259" s="5" t="inlineStr"/>
      <c r="D259" s="5" t="inlineStr">
        <is>
          <t>Hello! How can we help you?  Report القصور : 99281317   ‫أُرسلت من الـ iPhone‬</t>
        </is>
      </c>
      <c r="E259" s="7" t="inlineStr">
        <is>
          <t>99281317</t>
        </is>
      </c>
      <c r="F259" s="5" t="inlineStr">
        <is>
          <t>القصور</t>
        </is>
      </c>
      <c r="G259" s="7" t="inlineStr">
        <is>
          <t>99281317</t>
        </is>
      </c>
    </row>
    <row r="260" ht="18" customHeight="1">
      <c r="A260" s="2" t="inlineStr">
        <is>
          <t>Omar Almatar &lt;ofm636x@gmail.com&gt;</t>
        </is>
      </c>
      <c r="B260" s="3" t="inlineStr">
        <is>
          <t>ofm636x@gmail.com</t>
        </is>
      </c>
      <c r="C260" s="2">
        <f>?utf-8?B?2LnYp9is2YQ6INmK2LHYrNmJINin2KrYrtin2LAg2KfZhNin2Kw=?=  =?utf-8?B?2LHYp9ihINin2YTZhNin2LLZhQ==?=</f>
        <v/>
      </c>
      <c r="D260" s="2" t="inlineStr">
        <is>
          <t>Hello! How can we help you?  Report العدان ق6 ش21 م11 : 95500252  الرجاء ازالة العنوان من البرنامج لانتهاكه خصوصيتي</t>
        </is>
      </c>
      <c r="E260" s="4" t="inlineStr">
        <is>
          <t>95500252</t>
        </is>
      </c>
      <c r="F260" s="2" t="inlineStr">
        <is>
          <t>العدان ق6 ش21 م11</t>
        </is>
      </c>
      <c r="G260" s="4" t="inlineStr">
        <is>
          <t>95500252</t>
        </is>
      </c>
    </row>
    <row r="261" ht="18" customHeight="1">
      <c r="A261" s="5" t="inlineStr">
        <is>
          <t>Dalal Alajmi &lt;dalalalajmi84@icloud.com&gt;</t>
        </is>
      </c>
      <c r="B261" s="6" t="inlineStr">
        <is>
          <t>dalalalajmi84@icloud.com</t>
        </is>
      </c>
      <c r="C261" s="5">
        <f>?utf-8?B?2KfZhNiz2YTYp9mFINmK2LHYrNmJINmF2LPYrSDYp9mE2LnZhtmI?=  =?utf-8?B?2KfZhiA=?=</f>
        <v/>
      </c>
      <c r="D261" s="5" t="inlineStr">
        <is>
          <t>Hello! How can we help you?  Report مبارك الكبير ق 3 ش12 م51 : 50779366   ‫أُرسلت من الـ iPhone‬</t>
        </is>
      </c>
      <c r="E261" s="7" t="inlineStr">
        <is>
          <t>50779366</t>
        </is>
      </c>
      <c r="F261" s="5" t="inlineStr">
        <is>
          <t>مبارك الكبير ق 3 ش12 م51</t>
        </is>
      </c>
      <c r="G261" s="7" t="inlineStr">
        <is>
          <t>50779366</t>
        </is>
      </c>
    </row>
    <row r="262" ht="18" customHeight="1">
      <c r="A262" s="2" t="inlineStr">
        <is>
          <t>YOUSEF ALENEZI &lt;turkish_q8@icloud.com&gt;</t>
        </is>
      </c>
      <c r="B262" s="3" t="inlineStr">
        <is>
          <t>turkish_q8@icloud.com</t>
        </is>
      </c>
      <c r="C262" s="2" t="inlineStr"/>
      <c r="D262" s="2" t="inlineStr">
        <is>
          <t>Hello! How can we help you?  Report يوسف العنزى فنان- : 97977577   Sent from my iPhone</t>
        </is>
      </c>
      <c r="E262" s="4" t="inlineStr">
        <is>
          <t>97977577</t>
        </is>
      </c>
      <c r="F262" s="2" t="inlineStr">
        <is>
          <t>يوسف العنزى فنان-</t>
        </is>
      </c>
      <c r="G262" s="4" t="inlineStr">
        <is>
          <t>97977577</t>
        </is>
      </c>
    </row>
    <row r="263" ht="18" customHeight="1">
      <c r="A263" s="5" t="inlineStr">
        <is>
          <t>YOUSEF ALENEZI &lt;turkish_q8@icloud.com&gt;</t>
        </is>
      </c>
      <c r="B263" s="6" t="inlineStr">
        <is>
          <t>turkish_q8@icloud.com</t>
        </is>
      </c>
      <c r="C263" s="5" t="inlineStr"/>
      <c r="D263" s="5" t="inlineStr">
        <is>
          <t>Hello! How can we help you?  Report يوسف-العنزي مغني : 97977577   Sent from my iPhone</t>
        </is>
      </c>
      <c r="E263" s="7" t="inlineStr">
        <is>
          <t>97977577</t>
        </is>
      </c>
      <c r="F263" s="5" t="inlineStr">
        <is>
          <t>يوسف-العنزي مغني</t>
        </is>
      </c>
      <c r="G263" s="7" t="inlineStr">
        <is>
          <t>97977577</t>
        </is>
      </c>
    </row>
    <row r="264" ht="18" customHeight="1">
      <c r="A264" s="2">
        <f>?utf-8?B?2LPZhNi32KfZhiDYp9mE2YjYudmE2KfZhg==?= &lt;sultanwlan27@gmail.com&gt;</f>
        <v/>
      </c>
      <c r="B264" s="3" t="inlineStr">
        <is>
          <t>sultanwlan27@gmail.com</t>
        </is>
      </c>
      <c r="C264" s="2" t="inlineStr"/>
      <c r="D264" s="2" t="inlineStr">
        <is>
          <t>Hello! How can we help you?  Report . زينه البنات : 90903250   ‫أُرسلت من الـ iPhone‬</t>
        </is>
      </c>
      <c r="E264" s="4" t="inlineStr">
        <is>
          <t>90903250</t>
        </is>
      </c>
      <c r="F264" s="2" t="inlineStr">
        <is>
          <t>. زينه البنات</t>
        </is>
      </c>
      <c r="G264" s="4" t="inlineStr">
        <is>
          <t>90903250</t>
        </is>
      </c>
    </row>
    <row r="265" ht="18" customHeight="1">
      <c r="A265" s="5" t="inlineStr">
        <is>
          <t>moshkan taqi &lt;moshkantaqi@gmail.com&gt;</t>
        </is>
      </c>
      <c r="B265" s="6" t="inlineStr">
        <is>
          <t>moshkantaqi@gmail.com</t>
        </is>
      </c>
      <c r="C265" s="5" t="inlineStr"/>
      <c r="D265" s="5" t="inlineStr">
        <is>
          <t>Hello! How can we help you?  Report مشقان تقي : 97266269  Please cancel the name with number  Regards,  Moshkan Taqi</t>
        </is>
      </c>
      <c r="E265" s="7" t="inlineStr">
        <is>
          <t>97266269</t>
        </is>
      </c>
      <c r="F265" s="5" t="inlineStr">
        <is>
          <t>مشقان تقي</t>
        </is>
      </c>
      <c r="G265" s="7" t="inlineStr">
        <is>
          <t>97266269</t>
        </is>
      </c>
    </row>
    <row r="266" ht="18" customHeight="1">
      <c r="A266" s="2" t="inlineStr">
        <is>
          <t>moshkan taqi &lt;moshkantaqi@gmail.com&gt;</t>
        </is>
      </c>
      <c r="B266" s="3" t="inlineStr">
        <is>
          <t>moshkantaqi@gmail.com</t>
        </is>
      </c>
      <c r="C266" s="2" t="inlineStr">
        <is>
          <t xml:space="preserve">Pleased remove my name with my number because I already have annual membership with you 6 kd to hide my number now it shows with my name please cancel all the name with this number </t>
        </is>
      </c>
      <c r="D266" s="2" t="inlineStr">
        <is>
          <t>Hello! How can we help you?  Report مشقان تقي : 97266269   Regards,  Moshkan Taqi</t>
        </is>
      </c>
      <c r="E266" s="4" t="inlineStr">
        <is>
          <t>97266269</t>
        </is>
      </c>
      <c r="F266" s="2" t="inlineStr">
        <is>
          <t>مشقان تقي</t>
        </is>
      </c>
      <c r="G266" s="4" t="inlineStr">
        <is>
          <t>97266269</t>
        </is>
      </c>
    </row>
    <row r="267" ht="18" customHeight="1">
      <c r="A267" s="5" t="inlineStr">
        <is>
          <t>moshkan taqi &lt;moshkantaqi@gmail.com&gt;</t>
        </is>
      </c>
      <c r="B267" s="6" t="inlineStr">
        <is>
          <t>moshkantaqi@gmail.com</t>
        </is>
      </c>
      <c r="C267" s="5" t="inlineStr">
        <is>
          <t xml:space="preserve">Please remove the name with number </t>
        </is>
      </c>
      <c r="D267" s="5" t="inlineStr">
        <is>
          <t>Hello! How can we help you?  Report مشقان تقي : 97266269   Regards,  Moshkan Taqi</t>
        </is>
      </c>
      <c r="E267" s="7" t="inlineStr">
        <is>
          <t>97266269</t>
        </is>
      </c>
      <c r="F267" s="5" t="inlineStr">
        <is>
          <t>مشقان تقي</t>
        </is>
      </c>
      <c r="G267" s="7" t="inlineStr">
        <is>
          <t>97266269</t>
        </is>
      </c>
    </row>
    <row r="268" ht="18" customHeight="1">
      <c r="A268" s="2" t="inlineStr">
        <is>
          <t>moshkan taqi &lt;moshkantaqi@gmail.com&gt;</t>
        </is>
      </c>
      <c r="B268" s="3" t="inlineStr">
        <is>
          <t>moshkantaqi@gmail.com</t>
        </is>
      </c>
      <c r="C268" s="2" t="inlineStr">
        <is>
          <t>Remove my number with name</t>
        </is>
      </c>
      <c r="D268" s="2" t="inlineStr">
        <is>
          <t>Hello! How can we help you?  Report مشقان تقي : 97266269   Regards,  Moshkan Taqi</t>
        </is>
      </c>
      <c r="E268" s="4" t="inlineStr">
        <is>
          <t>97266269</t>
        </is>
      </c>
      <c r="F268" s="2" t="inlineStr">
        <is>
          <t>مشقان تقي</t>
        </is>
      </c>
      <c r="G268" s="4" t="inlineStr">
        <is>
          <t>97266269</t>
        </is>
      </c>
    </row>
    <row r="269" ht="18" customHeight="1">
      <c r="A269" s="5">
        <f>?utf-8?B?2YXYt9mE2YIg2KfZhNiz2YjZiti3?= &lt;motlag.alswa6@icloud.com&gt;</f>
        <v/>
      </c>
      <c r="B269" s="6" t="inlineStr">
        <is>
          <t>motlag.alswa6@icloud.com</t>
        </is>
      </c>
      <c r="C269" s="5">
        <f>?utf-8?B?2KfZhNix2KzYp9ihINmF2LPYrSDYp9mE2KfYs9mFINmI2LDZhNmD?=  =?utf-8?B?INmE2YjYrNmI2K8g2KfYs9mFINi62YrYsSDZhNin2KbZgiDZiNi0?=  =?utf-8?B?2YPYsdinIA==?=</f>
        <v/>
      </c>
      <c r="D269" s="5" t="inlineStr">
        <is>
          <t>Hello! How can we help you?  Report مطلق نايف الصلبي- : 66115254   ‫أُرسلت من الـ iPhone‬</t>
        </is>
      </c>
      <c r="E269" s="7" t="inlineStr">
        <is>
          <t>66115254</t>
        </is>
      </c>
      <c r="F269" s="5" t="inlineStr">
        <is>
          <t>مطلق نايف الصلبي-</t>
        </is>
      </c>
      <c r="G269" s="7" t="inlineStr">
        <is>
          <t>66115254</t>
        </is>
      </c>
    </row>
    <row r="270" ht="18" customHeight="1">
      <c r="A270" s="2" t="inlineStr">
        <is>
          <t>Mnsor Alfhd &lt;mnsoralfhd@gmail.com&gt;</t>
        </is>
      </c>
      <c r="B270" s="3" t="inlineStr">
        <is>
          <t>mnsoralfhd@gmail.com</t>
        </is>
      </c>
      <c r="C270" s="2" t="inlineStr"/>
      <c r="D270" s="2" t="inlineStr">
        <is>
          <t>Hello! How can we help you?  Report تاهو خياط : 96072121   ‫أُرسلت من الـ iPhone‬</t>
        </is>
      </c>
      <c r="E270" s="4" t="inlineStr">
        <is>
          <t>96072121</t>
        </is>
      </c>
      <c r="F270" s="2" t="inlineStr">
        <is>
          <t>تاهو خياط</t>
        </is>
      </c>
      <c r="G270" s="4" t="inlineStr">
        <is>
          <t>96072121</t>
        </is>
      </c>
    </row>
    <row r="271" ht="18" customHeight="1">
      <c r="A271" s="5" t="inlineStr">
        <is>
          <t>Mnsor Alfhd &lt;mnsoralfhd@gmail.com&gt;</t>
        </is>
      </c>
      <c r="B271" s="6" t="inlineStr">
        <is>
          <t>mnsoralfhd@gmail.com</t>
        </is>
      </c>
      <c r="C271" s="5" t="inlineStr"/>
      <c r="D271" s="5" t="inlineStr">
        <is>
          <t>Hello! How can we help you?  Report خياط بالجمله يفصل الموديلات بالكميات : 96072121   ‫أُرسلت من الـ iPhone‬</t>
        </is>
      </c>
      <c r="E271" s="7" t="inlineStr">
        <is>
          <t>96072121</t>
        </is>
      </c>
      <c r="F271" s="5" t="inlineStr">
        <is>
          <t>خياط بالجمله يفصل الموديلات بالكميات</t>
        </is>
      </c>
      <c r="G271" s="7" t="inlineStr">
        <is>
          <t>96072121</t>
        </is>
      </c>
    </row>
    <row r="272" ht="18" customHeight="1">
      <c r="A272" s="2" t="inlineStr">
        <is>
          <t>Mnsor Alfhd &lt;mnsoralfhd@gmail.com&gt;</t>
        </is>
      </c>
      <c r="B272" s="3" t="inlineStr">
        <is>
          <t>mnsoralfhd@gmail.com</t>
        </is>
      </c>
      <c r="C272" s="2" t="inlineStr"/>
      <c r="D272" s="2" t="inlineStr">
        <is>
          <t>Hello! How can we help you?  Report دراعه استرش- : 96072121   ‫أُرسلت من الـ iPhone‬</t>
        </is>
      </c>
      <c r="E272" s="4" t="inlineStr">
        <is>
          <t>96072121</t>
        </is>
      </c>
      <c r="F272" s="2" t="inlineStr">
        <is>
          <t>دراعه استرش-</t>
        </is>
      </c>
      <c r="G272" s="4" t="inlineStr">
        <is>
          <t>96072121</t>
        </is>
      </c>
    </row>
    <row r="273" ht="18" customHeight="1">
      <c r="A273" s="5" t="inlineStr">
        <is>
          <t>Mnsor Alfhd &lt;mnsoralfhd@gmail.com&gt;</t>
        </is>
      </c>
      <c r="B273" s="6" t="inlineStr">
        <is>
          <t>mnsoralfhd@gmail.com</t>
        </is>
      </c>
      <c r="C273" s="5" t="inlineStr"/>
      <c r="D273" s="5" t="inlineStr">
        <is>
          <t>Hello! How can we help you?  Report دراعه فسفوريه- : 96072121   ‫أُرسلت من الـ iPhone‬</t>
        </is>
      </c>
      <c r="E273" s="7" t="inlineStr">
        <is>
          <t>96072121</t>
        </is>
      </c>
      <c r="F273" s="5" t="inlineStr">
        <is>
          <t>دراعه فسفوريه-</t>
        </is>
      </c>
      <c r="G273" s="7" t="inlineStr">
        <is>
          <t>96072121</t>
        </is>
      </c>
    </row>
    <row r="274" ht="18" customHeight="1">
      <c r="A274" s="2" t="inlineStr">
        <is>
          <t>Mnsor Alfhd &lt;mnsoralfhd@gmail.com&gt;</t>
        </is>
      </c>
      <c r="B274" s="3" t="inlineStr">
        <is>
          <t>mnsoralfhd@gmail.com</t>
        </is>
      </c>
      <c r="C274" s="2" t="inlineStr"/>
      <c r="D274" s="2" t="inlineStr">
        <is>
          <t>Hello! How can we help you?  Report ااام منصوووور الفهد نورة ك : 50847454   ‫أُرسلت من الـ iPhone‬</t>
        </is>
      </c>
      <c r="E274" s="4" t="inlineStr">
        <is>
          <t>50847454</t>
        </is>
      </c>
      <c r="F274" s="2" t="inlineStr">
        <is>
          <t>ااام منصوووور الفهد نورة ك</t>
        </is>
      </c>
      <c r="G274" s="4" t="inlineStr">
        <is>
          <t>50847454</t>
        </is>
      </c>
    </row>
    <row r="275" ht="18" customHeight="1">
      <c r="A275" s="5" t="inlineStr">
        <is>
          <t>mona ali &lt;rokayaelyacoubi2018@icloud.com&gt;</t>
        </is>
      </c>
      <c r="B275" s="6" t="inlineStr">
        <is>
          <t>rokayaelyacoubi2018@icloud.com</t>
        </is>
      </c>
      <c r="C275" s="5">
        <f>?utf-8?B?2KfYstin2YTZhyDYp9mE2LHZgtmFINi22LHZiNix2Yog?=</f>
        <v/>
      </c>
      <c r="D275" s="5" t="inlineStr">
        <is>
          <t>Hello! How can we help you?  Report تهاني ابريم- : 99305789   ‫أُرسلت من الـ iPhone‬</t>
        </is>
      </c>
      <c r="E275" s="7" t="inlineStr">
        <is>
          <t>99305789</t>
        </is>
      </c>
      <c r="F275" s="5" t="inlineStr">
        <is>
          <t>تهاني ابريم-</t>
        </is>
      </c>
      <c r="G275" s="7" t="inlineStr">
        <is>
          <t>99305789</t>
        </is>
      </c>
    </row>
    <row r="276" ht="18" customHeight="1">
      <c r="A276" s="2" t="inlineStr">
        <is>
          <t>ad_aw@icloud.com</t>
        </is>
      </c>
      <c r="B276" s="3" t="inlineStr">
        <is>
          <t>ad_aw@icloud.com</t>
        </is>
      </c>
      <c r="C276" s="2">
        <f>?utf-8?B?2YrYsdis2Ykg2YXYs9itINio2YrYp9mG2KfYqtmKINmE2K/ZitmD?=  =?utf-8?B?2YUg2KfZiCDZitiq2YUg2YXYs9itINmF2KfZh9mIINmF2KjZitmG?=  =?utf-8?B?INmE2K/ZitmD2YUg2YXZhiDYqNmK2KfZhtin2Kog2YTYr9mJINix?=  =?utf-8?B?2YLZhSDYp9mE2YXYsNmD2YjYsSDYqNiz2LHYuSDZiNmC2Kog2Yg=?=  =?utf-8?B?2LTZg9ix2KfZiyA5NjY0NjQ2MA==?=</f>
        <v/>
      </c>
      <c r="D276" s="2" t="inlineStr">
        <is>
          <t>Hello! How can we help you?  Report 5o el5ra- : 96646460   ‫أُرسلت من الـ iPhone‬</t>
        </is>
      </c>
      <c r="E276" s="4" t="inlineStr">
        <is>
          <t>96646460</t>
        </is>
      </c>
      <c r="F276" s="2" t="inlineStr">
        <is>
          <t>5o el5ra-</t>
        </is>
      </c>
      <c r="G276" s="4" t="inlineStr">
        <is>
          <t>96646460</t>
        </is>
      </c>
    </row>
    <row r="277" ht="18" customHeight="1">
      <c r="A277" s="5" t="inlineStr">
        <is>
          <t>omabody almutiri &lt;reemas4_q8@hotmail.com&gt;</t>
        </is>
      </c>
      <c r="B277" s="6" t="inlineStr">
        <is>
          <t>reemas4_q8@hotmail.com</t>
        </is>
      </c>
      <c r="C277" s="5" t="inlineStr"/>
      <c r="D277" s="5" t="inlineStr">
        <is>
          <t xml:space="preserve">Hello! How can we help you?  Report ابو محمد موقف البورصه- : 94003338  Sent from my iPhone </t>
        </is>
      </c>
      <c r="E277" s="7" t="inlineStr">
        <is>
          <t>94003338</t>
        </is>
      </c>
      <c r="F277" s="5" t="inlineStr">
        <is>
          <t>ابو محمد موقف البورصه-</t>
        </is>
      </c>
      <c r="G277" s="7" t="inlineStr">
        <is>
          <t>94003338</t>
        </is>
      </c>
    </row>
    <row r="278" ht="18" customHeight="1">
      <c r="A278" s="2" t="inlineStr">
        <is>
          <t>omabody almutiri &lt;reemas4_q8@hotmail.com&gt;</t>
        </is>
      </c>
      <c r="B278" s="3" t="inlineStr">
        <is>
          <t>reemas4_q8@hotmail.com</t>
        </is>
      </c>
      <c r="C278" s="2" t="inlineStr"/>
      <c r="D278" s="2" t="inlineStr">
        <is>
          <t xml:space="preserve">Hello! How can we help you?  Report مشاعل ايفون- : 94003338  Sent from my iPhone </t>
        </is>
      </c>
      <c r="E278" s="4" t="inlineStr">
        <is>
          <t>94003338</t>
        </is>
      </c>
      <c r="F278" s="2" t="inlineStr">
        <is>
          <t>مشاعل ايفون-</t>
        </is>
      </c>
      <c r="G278" s="4" t="inlineStr">
        <is>
          <t>94003338</t>
        </is>
      </c>
    </row>
    <row r="279" ht="18" customHeight="1">
      <c r="A279" s="5" t="inlineStr">
        <is>
          <t>Salah Al30sg &lt;s2l27@me.com&gt;</t>
        </is>
      </c>
      <c r="B279" s="6" t="inlineStr">
        <is>
          <t>s2l27@me.com</t>
        </is>
      </c>
      <c r="C279" s="5" t="inlineStr"/>
      <c r="D279" s="5" t="inlineStr">
        <is>
          <t>Hello! How can we help you?  Report مها- : 66024984   ‫أُرسلت من الـ iPhone‬</t>
        </is>
      </c>
      <c r="E279" s="7" t="inlineStr">
        <is>
          <t>66024984</t>
        </is>
      </c>
      <c r="F279" s="5" t="inlineStr">
        <is>
          <t>مها-</t>
        </is>
      </c>
      <c r="G279" s="7" t="inlineStr">
        <is>
          <t>66024984</t>
        </is>
      </c>
    </row>
    <row r="280" ht="18" customHeight="1">
      <c r="A280" s="2" t="inlineStr">
        <is>
          <t>Salah Al30sg &lt;s2l27@me.com&gt;</t>
        </is>
      </c>
      <c r="B280" s="3" t="inlineStr">
        <is>
          <t>s2l27@me.com</t>
        </is>
      </c>
      <c r="C280" s="2" t="inlineStr"/>
      <c r="D280" s="2" t="inlineStr">
        <is>
          <t>Hello! How can we help you?  Report صلاح الشات- : 66024984   ‫أُرسلت من الـ iPhone‬</t>
        </is>
      </c>
      <c r="E280" s="4" t="inlineStr">
        <is>
          <t>66024984</t>
        </is>
      </c>
      <c r="F280" s="2" t="inlineStr">
        <is>
          <t>صلاح الشات-</t>
        </is>
      </c>
      <c r="G280" s="4" t="inlineStr">
        <is>
          <t>66024984</t>
        </is>
      </c>
    </row>
    <row r="281" ht="18" customHeight="1">
      <c r="A281" s="5" t="inlineStr">
        <is>
          <t>Salah Al30sg &lt;s2l27@me.com&gt;</t>
        </is>
      </c>
      <c r="B281" s="6" t="inlineStr">
        <is>
          <t>s2l27@me.com</t>
        </is>
      </c>
      <c r="C281" s="5">
        <f>?utf-8?B?2KfZhNmE2LrYp9ihINin2YTYqtiz2YXZitmHIA==?=</f>
        <v/>
      </c>
      <c r="D281" s="5" t="inlineStr">
        <is>
          <t>Hello! How can we help you?  Report ام جراح مها العميري - : 66024984   ‫أُرسلت من الـ iPhone‬</t>
        </is>
      </c>
      <c r="E281" s="7" t="inlineStr">
        <is>
          <t>66024984</t>
        </is>
      </c>
      <c r="F281" s="5" t="inlineStr">
        <is>
          <t>ام جراح مها العميري -</t>
        </is>
      </c>
      <c r="G281" s="7" t="inlineStr">
        <is>
          <t>66024984</t>
        </is>
      </c>
    </row>
    <row r="282" ht="18" customHeight="1">
      <c r="A282" s="2" t="inlineStr">
        <is>
          <t>Dhay Alsuwait &lt;dhay_alsuwait@icloud.com&gt;</t>
        </is>
      </c>
      <c r="B282" s="3" t="inlineStr">
        <is>
          <t>dhay_alsuwait@icloud.com</t>
        </is>
      </c>
      <c r="C282" s="2" t="inlineStr"/>
      <c r="D282" s="2" t="inlineStr">
        <is>
          <t>Hello! How can we help you?  Report بقي : 66550659   ‫أُرسلت من الـ iPhone‬</t>
        </is>
      </c>
      <c r="E282" s="4" t="inlineStr">
        <is>
          <t>66550659</t>
        </is>
      </c>
      <c r="F282" s="2" t="inlineStr">
        <is>
          <t>بقي</t>
        </is>
      </c>
      <c r="G282" s="4" t="inlineStr">
        <is>
          <t>66550659</t>
        </is>
      </c>
    </row>
    <row r="283" ht="18" customHeight="1">
      <c r="A283" s="5" t="inlineStr">
        <is>
          <t>BoSoud &lt;doooshxp@gmail.com&gt;</t>
        </is>
      </c>
      <c r="B283" s="6" t="inlineStr">
        <is>
          <t>doooshxp@gmail.com</t>
        </is>
      </c>
      <c r="C283" s="5">
        <f>?utf-8?B?2YbYtdin2Kg=?=</f>
        <v/>
      </c>
      <c r="D283" s="5" t="inlineStr">
        <is>
          <t>Hello! How can we help you?  Report عرض اعمالي : 94784486   Sent from my iPhone</t>
        </is>
      </c>
      <c r="E283" s="7" t="inlineStr">
        <is>
          <t>94784486</t>
        </is>
      </c>
      <c r="F283" s="5" t="inlineStr">
        <is>
          <t>عرض اعمالي</t>
        </is>
      </c>
      <c r="G283" s="7" t="inlineStr">
        <is>
          <t>94784486</t>
        </is>
      </c>
    </row>
    <row r="284" ht="18" customHeight="1">
      <c r="A284" s="2" t="inlineStr">
        <is>
          <t>BoSoud &lt;doooshxp@gmail.com&gt;</t>
        </is>
      </c>
      <c r="B284" s="3" t="inlineStr">
        <is>
          <t>doooshxp@gmail.com</t>
        </is>
      </c>
      <c r="C284" s="2">
        <f>?utf-8?B?2YXYqti32YHZhCA=?=</f>
        <v/>
      </c>
      <c r="D284" s="2" t="inlineStr">
        <is>
          <t>Hello! How can we help you?  Report متطفلين حسب بلاغات من بلدك KW :   94784486  Sent from my iPhone</t>
        </is>
      </c>
      <c r="E284" s="4" t="inlineStr">
        <is>
          <t>94784486</t>
        </is>
      </c>
      <c r="F284" s="2" t="inlineStr">
        <is>
          <t>متطفلين حسب بلاغات من بلدك KW</t>
        </is>
      </c>
      <c r="G284" s="4" t="inlineStr">
        <is>
          <t>94784486</t>
        </is>
      </c>
    </row>
    <row r="285" ht="18" customHeight="1">
      <c r="A285" s="5">
        <f>?utf-8?B?2YfYp9iv2Yog2KfZhNmF2LHYtNiv?= &lt;hadi60667640@gmail.com&gt;</f>
        <v/>
      </c>
      <c r="B285" s="6" t="inlineStr">
        <is>
          <t>hadi60667640@gmail.com</t>
        </is>
      </c>
      <c r="C285" s="5">
        <f>?utf-8?B?2KfYs9mFINi62YrYsSDZhNin2KbZgg==?=</f>
        <v/>
      </c>
      <c r="D285" s="5" t="inlineStr">
        <is>
          <t>Hello! How can we help you?  Report هادي عصر تعقيم : 50719798    ‫أُرسلت من الـ iPhone‬</t>
        </is>
      </c>
      <c r="E285" s="7" t="inlineStr">
        <is>
          <t>50719798</t>
        </is>
      </c>
      <c r="F285" s="5" t="inlineStr">
        <is>
          <t>هادي عصر تعقيم</t>
        </is>
      </c>
      <c r="G285" s="7" t="inlineStr">
        <is>
          <t>50719798</t>
        </is>
      </c>
    </row>
    <row r="286" ht="18" customHeight="1">
      <c r="A286" s="2" t="inlineStr">
        <is>
          <t>j661661@gmail.com</t>
        </is>
      </c>
      <c r="B286" s="3" t="inlineStr">
        <is>
          <t>j661661@gmail.com</t>
        </is>
      </c>
      <c r="C286" s="2">
        <f>?utf-8?B?2KfYstin2YTYqiDYp9mE2YjYtdmB?=</f>
        <v/>
      </c>
      <c r="D286" s="2" t="inlineStr">
        <is>
          <t>Hello! How can we help you?  Report لا جمال باجر جابريه هوز : 66166140   JAMAL ALKHASHAB</t>
        </is>
      </c>
      <c r="E286" s="4" t="inlineStr">
        <is>
          <t>66166140</t>
        </is>
      </c>
      <c r="F286" s="2" t="inlineStr">
        <is>
          <t>لا جمال باجر جابريه هوز</t>
        </is>
      </c>
      <c r="G286" s="4" t="inlineStr">
        <is>
          <t>66166140</t>
        </is>
      </c>
    </row>
    <row r="287" ht="18" customHeight="1">
      <c r="A287" s="5" t="inlineStr">
        <is>
          <t>falbloushi0@icloud.com</t>
        </is>
      </c>
      <c r="B287" s="6" t="inlineStr">
        <is>
          <t>falbloushi0@icloud.com</t>
        </is>
      </c>
      <c r="C287" s="5" t="inlineStr"/>
      <c r="D287" s="5" t="inlineStr">
        <is>
          <t>Hello! How can we help you?  Report مزرعة نعام 2 : 98801213  يرجى حذف الاسم لانه محرج وتم تغيير صاحب الرقم Sent from my iPhone</t>
        </is>
      </c>
      <c r="E287" s="7" t="inlineStr">
        <is>
          <t>98801213</t>
        </is>
      </c>
      <c r="F287" s="5" t="inlineStr">
        <is>
          <t>مزرعة نعام 2</t>
        </is>
      </c>
      <c r="G287" s="7" t="inlineStr">
        <is>
          <t>98801213</t>
        </is>
      </c>
    </row>
    <row r="288" ht="18" customHeight="1">
      <c r="A288" s="2" t="inlineStr">
        <is>
          <t>Jihan Mohammed &lt;jihan71taqi@gmail.com&gt;</t>
        </is>
      </c>
      <c r="B288" s="3" t="inlineStr">
        <is>
          <t>jihan71taqi@gmail.com</t>
        </is>
      </c>
      <c r="C288" s="2" t="inlineStr"/>
      <c r="D288" s="2" t="inlineStr">
        <is>
          <t>Hello! How can we help you?  Report قحيبه عجوز النار نجناها و العير خفيفه : 65999964   Sent from my iPhone</t>
        </is>
      </c>
      <c r="E288" s="4" t="inlineStr">
        <is>
          <t>65999964</t>
        </is>
      </c>
      <c r="F288" s="2" t="inlineStr">
        <is>
          <t>قحيبه عجوز النار نجناها و العير خفيفه</t>
        </is>
      </c>
      <c r="G288" s="4" t="inlineStr">
        <is>
          <t>65999964</t>
        </is>
      </c>
    </row>
    <row r="289" ht="18" customHeight="1">
      <c r="A289" s="5">
        <f>?utf-8?B?2K3Ys9mK2YYg2KfZhNi52KzZhdmK?= &lt;hralmashoor@icloud.com&gt;</f>
        <v/>
      </c>
      <c r="B289" s="6" t="inlineStr">
        <is>
          <t>hralmashoor@icloud.com</t>
        </is>
      </c>
      <c r="C289" s="5" t="inlineStr"/>
      <c r="D289" s="5" t="inlineStr">
        <is>
          <t>Hello! How can we help you?  Report حسين الضفعه - : 55302323   Sent from my iPhone</t>
        </is>
      </c>
      <c r="E289" s="7" t="inlineStr">
        <is>
          <t>55302323</t>
        </is>
      </c>
      <c r="F289" s="5" t="inlineStr">
        <is>
          <t>حسين الضفعه -</t>
        </is>
      </c>
      <c r="G289" s="7" t="inlineStr">
        <is>
          <t>55302323</t>
        </is>
      </c>
    </row>
    <row r="290" ht="18" customHeight="1">
      <c r="A290" s="2">
        <f>?utf-8?B?2K3Ys9mK2YYg2KfZhNi52KzZhdmK?= &lt;hralmashoor@icloud.com&gt;</f>
        <v/>
      </c>
      <c r="B290" s="3" t="inlineStr">
        <is>
          <t>hralmashoor@icloud.com</t>
        </is>
      </c>
      <c r="C290" s="2" t="inlineStr"/>
      <c r="D290" s="2" t="inlineStr">
        <is>
          <t>Hello! How can we help you?  Report حسين راشد ولد غزيل- : 55302323   Sent from my iPhone</t>
        </is>
      </c>
      <c r="E290" s="4" t="inlineStr">
        <is>
          <t>55302323</t>
        </is>
      </c>
      <c r="F290" s="2" t="inlineStr">
        <is>
          <t>حسين راشد ولد غزيل-</t>
        </is>
      </c>
      <c r="G290" s="4" t="inlineStr">
        <is>
          <t>55302323</t>
        </is>
      </c>
    </row>
    <row r="291" ht="18" customHeight="1">
      <c r="A291" s="5">
        <f>?utf-8?B?2K3Ys9mK2YYg2KfZhNi52KzZhdmK?= &lt;hralmashoor@icloud.com&gt;</f>
        <v/>
      </c>
      <c r="B291" s="6" t="inlineStr">
        <is>
          <t>hralmashoor@icloud.com</t>
        </is>
      </c>
      <c r="C291" s="5" t="inlineStr"/>
      <c r="D291" s="5" t="inlineStr">
        <is>
          <t>Hello! How can we help you?  Report حسين ابن غزيل- : 55302323   Sent from my iPhone</t>
        </is>
      </c>
      <c r="E291" s="7" t="inlineStr">
        <is>
          <t>55302323</t>
        </is>
      </c>
      <c r="F291" s="5" t="inlineStr">
        <is>
          <t>حسين ابن غزيل-</t>
        </is>
      </c>
      <c r="G291" s="7" t="inlineStr">
        <is>
          <t>55302323</t>
        </is>
      </c>
    </row>
    <row r="292" ht="18" customHeight="1">
      <c r="A292" s="2">
        <f>?utf-8?B?2K3Ys9mK2YYg2KfZhNi52KzZhdmK?= &lt;hralmashoor@icloud.com&gt;</f>
        <v/>
      </c>
      <c r="B292" s="3" t="inlineStr">
        <is>
          <t>hralmashoor@icloud.com</t>
        </is>
      </c>
      <c r="C292" s="2" t="inlineStr"/>
      <c r="D292" s="2" t="inlineStr">
        <is>
          <t>Hello! How can we help you?  Report حسون عزيل - : 55302323   Sent from my iPhone</t>
        </is>
      </c>
      <c r="E292" s="4" t="inlineStr">
        <is>
          <t>55302323</t>
        </is>
      </c>
      <c r="F292" s="2" t="inlineStr">
        <is>
          <t>حسون عزيل -</t>
        </is>
      </c>
      <c r="G292" s="4" t="inlineStr">
        <is>
          <t>55302323</t>
        </is>
      </c>
    </row>
    <row r="293" ht="18" customHeight="1">
      <c r="A293" s="5" t="inlineStr">
        <is>
          <t>axjrr@icloud.com</t>
        </is>
      </c>
      <c r="B293" s="6" t="inlineStr">
        <is>
          <t>axjrr@icloud.com</t>
        </is>
      </c>
      <c r="C293" s="5" t="inlineStr"/>
      <c r="D293" s="5" t="inlineStr">
        <is>
          <t>Hello! How can we help you?  Report أثيوبيه : 51772297   Sent from my iPhone</t>
        </is>
      </c>
      <c r="E293" s="7" t="inlineStr">
        <is>
          <t>51772297</t>
        </is>
      </c>
      <c r="F293" s="5" t="inlineStr">
        <is>
          <t>أثيوبيه</t>
        </is>
      </c>
      <c r="G293" s="7" t="inlineStr">
        <is>
          <t>51772297</t>
        </is>
      </c>
    </row>
    <row r="294" ht="18" customHeight="1">
      <c r="A294" s="2" t="inlineStr">
        <is>
          <t>axjrr@icloud.com</t>
        </is>
      </c>
      <c r="B294" s="3" t="inlineStr">
        <is>
          <t>axjrr@icloud.com</t>
        </is>
      </c>
      <c r="C294" s="2" t="inlineStr"/>
      <c r="D294" s="2" t="inlineStr">
        <is>
          <t>Hello! How can we help you?  Report أثيوبيه عمرها : 51772297   Sent from my iPhone</t>
        </is>
      </c>
      <c r="E294" s="4" t="inlineStr">
        <is>
          <t>51772297</t>
        </is>
      </c>
      <c r="F294" s="2" t="inlineStr">
        <is>
          <t>أثيوبيه عمرها</t>
        </is>
      </c>
      <c r="G294" s="4" t="inlineStr">
        <is>
          <t>51772297</t>
        </is>
      </c>
    </row>
    <row r="295" ht="18" customHeight="1">
      <c r="A295" s="5" t="inlineStr">
        <is>
          <t>Yousif Al-Moumen &lt;ysf_z28@yahoo.com&gt;</t>
        </is>
      </c>
      <c r="B295" s="6" t="inlineStr">
        <is>
          <t>ysf_z28@yahoo.com</t>
        </is>
      </c>
      <c r="C295" s="5" t="inlineStr">
        <is>
          <t>Hi</t>
        </is>
      </c>
      <c r="D295" s="5" t="inlineStr">
        <is>
          <t xml:space="preserve">Hello! How can we help you?    الرجاء الغاء هذا التعليق وشكراً    Report بلاك لست جابر العلي- : 97284494     Best Regards, Yousif Al-Moumen  </t>
        </is>
      </c>
      <c r="E295" s="7" t="inlineStr">
        <is>
          <t>97284494</t>
        </is>
      </c>
      <c r="F295" s="5" t="inlineStr">
        <is>
          <t>بلاك لست جابر العلي-</t>
        </is>
      </c>
      <c r="G295" s="7" t="inlineStr">
        <is>
          <t>97284494</t>
        </is>
      </c>
    </row>
    <row r="296" ht="18" customHeight="1">
      <c r="A296" s="2" t="inlineStr">
        <is>
          <t>IBRAHIM ALHASSAWI &lt;hassawi7@icloud.com&gt;</t>
        </is>
      </c>
      <c r="B296" s="3" t="inlineStr">
        <is>
          <t>hassawi7@icloud.com</t>
        </is>
      </c>
      <c r="C296" s="2">
        <f>?utf-8?B?2KrZhtio2YrZhw==?=</f>
        <v/>
      </c>
      <c r="D296" s="2" t="inlineStr">
        <is>
          <t>Hello! How can we help you?  Report نغل 21 : 66055036   الرجاء مسح هذا التعليق غير لائق</t>
        </is>
      </c>
      <c r="E296" s="4" t="inlineStr">
        <is>
          <t>66055036</t>
        </is>
      </c>
      <c r="F296" s="2" t="inlineStr">
        <is>
          <t>نغل 21</t>
        </is>
      </c>
      <c r="G296" s="4" t="inlineStr">
        <is>
          <t>66055036</t>
        </is>
      </c>
    </row>
    <row r="297" ht="18" customHeight="1">
      <c r="A297" s="5" t="inlineStr">
        <is>
          <t>hassoonya2002@gmail.com</t>
        </is>
      </c>
      <c r="B297" s="6" t="inlineStr">
        <is>
          <t>hassoonya2002@gmail.com</t>
        </is>
      </c>
      <c r="C297" s="5" t="inlineStr"/>
      <c r="D297" s="5" t="inlineStr">
        <is>
          <t>Hello! How can we help you?  Report تهانو الجاسوسه ام السحووره : 97178868   Sent from my iPhone</t>
        </is>
      </c>
      <c r="E297" s="7" t="inlineStr">
        <is>
          <t>97178868</t>
        </is>
      </c>
      <c r="F297" s="5" t="inlineStr">
        <is>
          <t>تهانو الجاسوسه ام السحووره</t>
        </is>
      </c>
      <c r="G297" s="7" t="inlineStr">
        <is>
          <t>97178868</t>
        </is>
      </c>
    </row>
    <row r="298" ht="18" customHeight="1">
      <c r="A298" s="2" t="inlineStr">
        <is>
          <t>Abdulhadi Alazmi &lt;aalazmi.22715@gmail.com&gt;</t>
        </is>
      </c>
      <c r="B298" s="3" t="inlineStr">
        <is>
          <t>aalazmi.22715@gmail.com</t>
        </is>
      </c>
      <c r="C298" s="2" t="inlineStr"/>
      <c r="D298" s="2" t="inlineStr">
        <is>
          <t>Hello! How can we help you?  Report جابر العلى ق2 : 69934222   ‫أُرسلت من الـ iPhone‬</t>
        </is>
      </c>
      <c r="E298" s="4" t="inlineStr">
        <is>
          <t>69934222</t>
        </is>
      </c>
      <c r="F298" s="2" t="inlineStr">
        <is>
          <t>جابر العلى ق2</t>
        </is>
      </c>
      <c r="G298" s="4" t="inlineStr">
        <is>
          <t>69934222</t>
        </is>
      </c>
    </row>
    <row r="299" ht="18" customHeight="1">
      <c r="A299" s="5" t="inlineStr">
        <is>
          <t>Easa Altfeere &lt;roma.964@icloud.com&gt;</t>
        </is>
      </c>
      <c r="B299" s="6" t="inlineStr">
        <is>
          <t>roma.964@icloud.com</t>
        </is>
      </c>
      <c r="C299" s="5">
        <f>?utf-8?B?2YPYtNmBINin2YTYrti12YjYtdmK2Yc=?=</f>
        <v/>
      </c>
      <c r="D299" s="5" t="inlineStr">
        <is>
          <t>Hello! How can we help you?  Report حادي عشر علمي تيماء ق2ش1م27-عيسى : 50501785   ‫أُرسلت من الـ iPhone‬</t>
        </is>
      </c>
      <c r="E299" s="7" t="inlineStr">
        <is>
          <t>50501785</t>
        </is>
      </c>
      <c r="F299" s="5" t="inlineStr">
        <is>
          <t>حادي عشر علمي تيماء ق2ش1م27-عيسى</t>
        </is>
      </c>
      <c r="G299" s="7" t="inlineStr">
        <is>
          <t>50501785</t>
        </is>
      </c>
    </row>
    <row r="300" ht="18" customHeight="1">
      <c r="A300" s="2">
        <f>?utf-8?B?2YXZhti12YjYsSDYp9mE2YbYp9i12LE=?= &lt;mooo2222@icloud.com&gt;</f>
        <v/>
      </c>
      <c r="B300" s="3" t="inlineStr">
        <is>
          <t>mooo2222@icloud.com</t>
        </is>
      </c>
      <c r="C300" s="2">
        <f>?utf-8?B?2KfYs9in2KHZhyDYqNin2YTYp9iz2YUg2KfZhNix2KzYp9ihINin?=  =?utf-8?B?2YTYrdiw2YE=?=</f>
        <v/>
      </c>
      <c r="D300" s="2" t="inlineStr">
        <is>
          <t>Hello! How can we help you?  Report منصرجابرعلي دكام ال صليع زير النساء : 52222779   ‫أُرسلت من الـ iPhone‬</t>
        </is>
      </c>
      <c r="E300" s="4" t="inlineStr">
        <is>
          <t>52222779</t>
        </is>
      </c>
      <c r="F300" s="2" t="inlineStr">
        <is>
          <t>منصرجابرعلي دكام ال صليع زير النساء</t>
        </is>
      </c>
      <c r="G300" s="4" t="inlineStr">
        <is>
          <t>52222779</t>
        </is>
      </c>
    </row>
    <row r="301" ht="18" customHeight="1">
      <c r="A301" s="5">
        <f>?utf-8?B?2YXZhti12YjYsSDYp9mE2YbYp9i12LE=?= &lt;mooo2222@icloud.com&gt;</f>
        <v/>
      </c>
      <c r="B301" s="6" t="inlineStr">
        <is>
          <t>mooo2222@icloud.com</t>
        </is>
      </c>
      <c r="C301" s="5">
        <f>?utf-8?B?2KfYs9in2KHZhyDZgdmKINin2YTYp9iz2YU=?=</f>
        <v/>
      </c>
      <c r="D301" s="5" t="inlineStr">
        <is>
          <t>Hello! How can we help you?  Report منصرجابرعلي دكام ال صليع زير النساء : 52222779   ‫أُرسلت من الـ iPhone‬</t>
        </is>
      </c>
      <c r="E301" s="7" t="inlineStr">
        <is>
          <t>52222779</t>
        </is>
      </c>
      <c r="F301" s="5" t="inlineStr">
        <is>
          <t>منصرجابرعلي دكام ال صليع زير النساء</t>
        </is>
      </c>
      <c r="G301" s="7" t="inlineStr">
        <is>
          <t>52222779</t>
        </is>
      </c>
    </row>
    <row r="302" ht="18" customHeight="1">
      <c r="A302" s="2" t="inlineStr">
        <is>
          <t>aliasultan315@icloud.com</t>
        </is>
      </c>
      <c r="B302" s="3" t="inlineStr">
        <is>
          <t>aliasultan315@icloud.com</t>
        </is>
      </c>
      <c r="C302" s="2" t="inlineStr">
        <is>
          <t>Delete this name</t>
        </is>
      </c>
      <c r="D302" s="2" t="inlineStr">
        <is>
          <t>Hello! How can we help you?  Report El7ub Eljded - : 94052111   ‫أُرسلت من الـ iPhone‬</t>
        </is>
      </c>
      <c r="E302" s="4" t="inlineStr">
        <is>
          <t>94052111</t>
        </is>
      </c>
      <c r="F302" s="2" t="inlineStr">
        <is>
          <t>El7ub Eljded -</t>
        </is>
      </c>
      <c r="G302" s="4" t="inlineStr">
        <is>
          <t>94052111</t>
        </is>
      </c>
    </row>
    <row r="303" ht="18" customHeight="1">
      <c r="A303" s="5" t="inlineStr">
        <is>
          <t>Tareq Alkandari &lt;tmsk965@gmail.com&gt;</t>
        </is>
      </c>
      <c r="B303" s="6" t="inlineStr">
        <is>
          <t>tmsk965@gmail.com</t>
        </is>
      </c>
      <c r="C303" s="5" t="inlineStr"/>
      <c r="D303" s="5" t="inlineStr">
        <is>
          <t xml:space="preserve">Hello! How can we help you?  Report أ. طارق الكندري مكتب خدمات تسويقية : 69992759  الرقم رقمي و المكتب الغي ولم يتم تجديد رخصته يرجى ازالة الاسم شاكراً لكم حسن تعاونكم   </t>
        </is>
      </c>
      <c r="E303" s="7" t="inlineStr">
        <is>
          <t>69992759</t>
        </is>
      </c>
      <c r="F303" s="5" t="inlineStr">
        <is>
          <t>أ. طارق الكندري مكتب خدمات تسويقية</t>
        </is>
      </c>
      <c r="G303" s="7" t="inlineStr">
        <is>
          <t>69992759</t>
        </is>
      </c>
    </row>
    <row r="304" ht="18" customHeight="1">
      <c r="A304" s="2" t="inlineStr">
        <is>
          <t>Shajan Almutairi &lt;shajouna@icloud.com&gt;</t>
        </is>
      </c>
      <c r="B304" s="3" t="inlineStr">
        <is>
          <t>shajouna@icloud.com</t>
        </is>
      </c>
      <c r="C304" s="2" t="inlineStr">
        <is>
          <t>Delete it plz</t>
        </is>
      </c>
      <c r="D304" s="2" t="inlineStr">
        <is>
          <t>Hello! How can we help you?  Report ميزه- : 99733229   Sent from my iPhone</t>
        </is>
      </c>
      <c r="E304" s="4" t="inlineStr">
        <is>
          <t>99733229</t>
        </is>
      </c>
      <c r="F304" s="2" t="inlineStr">
        <is>
          <t>ميزه-</t>
        </is>
      </c>
      <c r="G304" s="4" t="inlineStr">
        <is>
          <t>99733229</t>
        </is>
      </c>
    </row>
    <row r="305" ht="18" customHeight="1">
      <c r="A305" s="5" t="inlineStr">
        <is>
          <t>Samer Adel &lt;samer_shivooo@icloud.com&gt;</t>
        </is>
      </c>
      <c r="B305" s="6" t="inlineStr">
        <is>
          <t>samer_shivooo@icloud.com</t>
        </is>
      </c>
      <c r="C305" s="5" t="inlineStr">
        <is>
          <t xml:space="preserve">Abuse </t>
        </is>
      </c>
      <c r="D305" s="5" t="inlineStr">
        <is>
          <t>Hello! How can we help you?  Report حقببجي : 56511268   Sent from my iPhone</t>
        </is>
      </c>
      <c r="E305" s="7" t="inlineStr">
        <is>
          <t>56511268</t>
        </is>
      </c>
      <c r="F305" s="5" t="inlineStr">
        <is>
          <t>حقببجي</t>
        </is>
      </c>
      <c r="G305" s="7" t="inlineStr">
        <is>
          <t>56511268</t>
        </is>
      </c>
    </row>
    <row r="306" ht="18" customHeight="1">
      <c r="A306" s="2" t="inlineStr">
        <is>
          <t>Waleed Alanzi &lt;jurgenalanzi@yahoo.com&gt;</t>
        </is>
      </c>
      <c r="B306" s="3" t="inlineStr">
        <is>
          <t>jurgenalanzi@yahoo.com</t>
        </is>
      </c>
      <c r="C306" s="2" t="inlineStr"/>
      <c r="D306" s="2" t="inlineStr">
        <is>
          <t>Hello! How can we help you?  Report Waled Alkhalid Algez : 69684448   Sent from my iPhone</t>
        </is>
      </c>
      <c r="E306" s="4" t="inlineStr">
        <is>
          <t>69684448</t>
        </is>
      </c>
      <c r="F306" s="2" t="inlineStr">
        <is>
          <t>Waled Alkhalid Algez</t>
        </is>
      </c>
      <c r="G306" s="4" t="inlineStr">
        <is>
          <t>69684448</t>
        </is>
      </c>
    </row>
    <row r="307" ht="18" customHeight="1">
      <c r="A307" s="5" t="inlineStr">
        <is>
          <t>Mohammed Bohuda &lt;kwt.fire.fighter@gmail.com&gt;</t>
        </is>
      </c>
      <c r="B307" s="6" t="inlineStr">
        <is>
          <t>kwt.fire.fighter@gmail.com</t>
        </is>
      </c>
      <c r="C307" s="5" t="inlineStr"/>
      <c r="D307" s="5" t="inlineStr">
        <is>
          <t>Hello! How can we help you?  Report Hanan-Hussain : 55221777   Sent from my iPhone</t>
        </is>
      </c>
      <c r="E307" s="7" t="inlineStr">
        <is>
          <t>55221777</t>
        </is>
      </c>
      <c r="F307" s="5" t="inlineStr">
        <is>
          <t>Hanan-Hussain</t>
        </is>
      </c>
      <c r="G307" s="7" t="inlineStr">
        <is>
          <t>55221777</t>
        </is>
      </c>
    </row>
    <row r="308" ht="18" customHeight="1">
      <c r="A308" s="2" t="inlineStr">
        <is>
          <t>Mohammed Bohuda &lt;kwt.fire.fighter@gmail.com&gt;</t>
        </is>
      </c>
      <c r="B308" s="3" t="inlineStr">
        <is>
          <t>kwt.fire.fighter@gmail.com</t>
        </is>
      </c>
      <c r="C308" s="2" t="inlineStr"/>
      <c r="D308" s="2" t="inlineStr">
        <is>
          <t>Hello! How can we help you?  Report ممشى / رانجلر أساسي : 55221777   Sent from my iPhone</t>
        </is>
      </c>
      <c r="E308" s="4" t="inlineStr">
        <is>
          <t>55221777</t>
        </is>
      </c>
      <c r="F308" s="2" t="inlineStr">
        <is>
          <t>ممشى / رانجلر أساسي</t>
        </is>
      </c>
      <c r="G308" s="4" t="inlineStr">
        <is>
          <t>55221777</t>
        </is>
      </c>
    </row>
    <row r="309" ht="18" customHeight="1">
      <c r="A309" s="5" t="inlineStr">
        <is>
          <t>Mohammed Bohuda &lt;kwt.fire.fighter@gmail.com&gt;</t>
        </is>
      </c>
      <c r="B309" s="6" t="inlineStr">
        <is>
          <t>kwt.fire.fighter@gmail.com</t>
        </is>
      </c>
      <c r="C309" s="5" t="inlineStr"/>
      <c r="D309" s="5" t="inlineStr">
        <is>
          <t>Hello! How can we help you?  Report ممشى رانجلر محنج عبود/2 أساسي على قولته : 55221777   Sent from my iPhone</t>
        </is>
      </c>
      <c r="E309" s="7" t="inlineStr">
        <is>
          <t>55221777</t>
        </is>
      </c>
      <c r="F309" s="5" t="inlineStr">
        <is>
          <t>ممشى رانجلر محنج عبود/2 أساسي على قولته</t>
        </is>
      </c>
      <c r="G309" s="7" t="inlineStr">
        <is>
          <t>55221777</t>
        </is>
      </c>
    </row>
    <row r="310" ht="18" customHeight="1">
      <c r="A310" s="2" t="inlineStr">
        <is>
          <t>Rula &lt;lalee2000@gmail.com&gt;</t>
        </is>
      </c>
      <c r="B310" s="3" t="inlineStr">
        <is>
          <t>lalee2000@gmail.com</t>
        </is>
      </c>
      <c r="C310" s="2" t="inlineStr">
        <is>
          <t>Delete this !!!</t>
        </is>
      </c>
      <c r="D310" s="2" t="inlineStr">
        <is>
          <t xml:space="preserve">Hello! How can we help you?  Report عميله غبيه : 99709900 !!!  </t>
        </is>
      </c>
      <c r="E310" s="4" t="inlineStr">
        <is>
          <t>99709900</t>
        </is>
      </c>
      <c r="F310" s="2" t="inlineStr">
        <is>
          <t>عميله غبيه</t>
        </is>
      </c>
      <c r="G310" s="4" t="inlineStr">
        <is>
          <t>99709900</t>
        </is>
      </c>
    </row>
    <row r="311" ht="18" customHeight="1">
      <c r="A311" s="5" t="inlineStr">
        <is>
          <t>Diya Kabbani &lt;diya_k@icloud.com&gt;</t>
        </is>
      </c>
      <c r="B311" s="6" t="inlineStr">
        <is>
          <t>diya_k@icloud.com</t>
        </is>
      </c>
      <c r="C311" s="5">
        <f>?utf-8?B?2KfZhNin2LPZhSDZgdmKINi52YbZiNin2YYg2KfZhNiz2YPZhiA=?=  =?utf-8?B?2YjZh9iw2Kcg2KfZhtiq2YfYp9mDINmE2YTYrti12YjYtdmK2Kkg?=  =?utf-8?B?2YrYp9ix2YrYqiDYqtmF2LPYrdmI2YbZhyA=?=</f>
        <v/>
      </c>
      <c r="D311" s="5" t="inlineStr">
        <is>
          <t>Hello! How can we help you?  Report علي زبون عبدالله السالم ش نصف اليوسف النصف ق1 م 12 : 50481787   Sent from my iPhone</t>
        </is>
      </c>
      <c r="E311" s="7" t="inlineStr">
        <is>
          <t>50481787</t>
        </is>
      </c>
      <c r="F311" s="5" t="inlineStr">
        <is>
          <t>علي زبون عبدالله السالم ش نصف اليوسف النصف ق1 م 12</t>
        </is>
      </c>
      <c r="G311" s="7" t="inlineStr">
        <is>
          <t>50481787</t>
        </is>
      </c>
    </row>
    <row r="312" ht="18" customHeight="1">
      <c r="A312" s="2" t="inlineStr">
        <is>
          <t>Cjgy Fhvv &lt;il7zen@icloud.com&gt;</t>
        </is>
      </c>
      <c r="B312" s="3" t="inlineStr">
        <is>
          <t>il7zen@icloud.com</t>
        </is>
      </c>
      <c r="C312" s="2">
        <f>?utf-8?B?2KfYs9mFINmF2LPZitihIA==?=</f>
        <v/>
      </c>
      <c r="D312" s="2" t="inlineStr">
        <is>
          <t>Hello! How can we help you?  Report بشاير بنت زكيه : 62224609   ‫أُرسلت من الـ iPhone‬</t>
        </is>
      </c>
      <c r="E312" s="4" t="inlineStr">
        <is>
          <t>62224609</t>
        </is>
      </c>
      <c r="F312" s="2" t="inlineStr">
        <is>
          <t>بشاير بنت زكيه</t>
        </is>
      </c>
      <c r="G312" s="4" t="inlineStr">
        <is>
          <t>62224609</t>
        </is>
      </c>
    </row>
    <row r="313" ht="18" customHeight="1">
      <c r="A313" s="5" t="inlineStr">
        <is>
          <t>Aljory alnuwaif &lt;algory.1990@icloud.com&gt;</t>
        </is>
      </c>
      <c r="B313" s="6" t="inlineStr">
        <is>
          <t>algory.1990@icloud.com</t>
        </is>
      </c>
      <c r="C313" s="5" t="inlineStr"/>
      <c r="D313" s="5" t="inlineStr">
        <is>
          <t>Hello! How can we help you?  Report Maha Gawada- : 66172233   Sent from my iPhone</t>
        </is>
      </c>
      <c r="E313" s="7" t="inlineStr">
        <is>
          <t>66172233</t>
        </is>
      </c>
      <c r="F313" s="5" t="inlineStr">
        <is>
          <t>Maha Gawada-</t>
        </is>
      </c>
      <c r="G313" s="7" t="inlineStr">
        <is>
          <t>66172233</t>
        </is>
      </c>
    </row>
    <row r="314" ht="18" customHeight="1">
      <c r="A314" s="2" t="inlineStr">
        <is>
          <t>Aljory alnuwaif &lt;algory.1990@icloud.com&gt;</t>
        </is>
      </c>
      <c r="B314" s="3" t="inlineStr">
        <is>
          <t>algory.1990@icloud.com</t>
        </is>
      </c>
      <c r="C314" s="2" t="inlineStr"/>
      <c r="D314" s="2" t="inlineStr">
        <is>
          <t>Hello! How can we help you?  Report Maha Gawada- : 66172233   Sent from my iPhone</t>
        </is>
      </c>
      <c r="E314" s="4" t="inlineStr">
        <is>
          <t>66172233</t>
        </is>
      </c>
      <c r="F314" s="2" t="inlineStr">
        <is>
          <t>Maha Gawada-</t>
        </is>
      </c>
      <c r="G314" s="4" t="inlineStr">
        <is>
          <t>66172233</t>
        </is>
      </c>
    </row>
    <row r="315" ht="18" customHeight="1">
      <c r="A315" s="5" t="inlineStr">
        <is>
          <t>Aljory alnuwaif &lt;algory.1990@icloud.com&gt;</t>
        </is>
      </c>
      <c r="B315" s="6" t="inlineStr">
        <is>
          <t>algory.1990@icloud.com</t>
        </is>
      </c>
      <c r="C315" s="5" t="inlineStr"/>
      <c r="D315" s="5" t="inlineStr">
        <is>
          <t>Hello! How can we help you?  Report Maha Gawada- : 66172233   Sent from my iPhone</t>
        </is>
      </c>
      <c r="E315" s="7" t="inlineStr">
        <is>
          <t>66172233</t>
        </is>
      </c>
      <c r="F315" s="5" t="inlineStr">
        <is>
          <t>Maha Gawada-</t>
        </is>
      </c>
      <c r="G315" s="7" t="inlineStr">
        <is>
          <t>66172233</t>
        </is>
      </c>
    </row>
    <row r="316" ht="18" customHeight="1">
      <c r="A316" s="2" t="inlineStr">
        <is>
          <t>Aljory alnuwaif &lt;algory.1990@icloud.com&gt;</t>
        </is>
      </c>
      <c r="B316" s="3" t="inlineStr">
        <is>
          <t>algory.1990@icloud.com</t>
        </is>
      </c>
      <c r="C316" s="2" t="inlineStr"/>
      <c r="D316" s="2" t="inlineStr">
        <is>
          <t>Hello! How can we help you?  Report Maha Gawada- : 66172233   Sent from my iPhone</t>
        </is>
      </c>
      <c r="E316" s="4" t="inlineStr">
        <is>
          <t>66172233</t>
        </is>
      </c>
      <c r="F316" s="2" t="inlineStr">
        <is>
          <t>Maha Gawada-</t>
        </is>
      </c>
      <c r="G316" s="4" t="inlineStr">
        <is>
          <t>66172233</t>
        </is>
      </c>
    </row>
    <row r="317" ht="18" customHeight="1">
      <c r="A317" s="5" t="inlineStr">
        <is>
          <t>Mohammad Eqraieet &lt;q1_q6@hotmail.com&gt;</t>
        </is>
      </c>
      <c r="B317" s="6" t="inlineStr">
        <is>
          <t>q1_q6@hotmail.com</t>
        </is>
      </c>
      <c r="C317" s="5">
        <f>?utf-8?B?2KfYsdis2Ygg2YXYs9itINin2YTZiNi12YE=?=</f>
        <v/>
      </c>
      <c r="D317" s="5" t="inlineStr">
        <is>
          <t xml:space="preserve">Hello! How can we help you?  Report Q8 Food Q8 : 97939844  ‫أُرسلت من الـ iPhone‬ </t>
        </is>
      </c>
      <c r="E317" s="7" t="inlineStr">
        <is>
          <t>97939844</t>
        </is>
      </c>
      <c r="F317" s="5" t="inlineStr">
        <is>
          <t>Q8 Food Q8</t>
        </is>
      </c>
      <c r="G317" s="7" t="inlineStr">
        <is>
          <t>97939844</t>
        </is>
      </c>
    </row>
    <row r="318" ht="18" customHeight="1">
      <c r="A318" s="2" t="inlineStr">
        <is>
          <t>Mohammad Eqraieet &lt;q1_q6@hotmail.com&gt;</t>
        </is>
      </c>
      <c r="B318" s="3" t="inlineStr">
        <is>
          <t>q1_q6@hotmail.com</t>
        </is>
      </c>
      <c r="C318" s="2">
        <f>?utf-8?B?2KfYsdis2Ygg2YXYs9itINin2YTZiNi12YEg2YTZhNiu2LXZiNi12YrYqQ==?=</f>
        <v/>
      </c>
      <c r="D318" s="2" t="inlineStr">
        <is>
          <t xml:space="preserve">Hello! How can we help you?  Report Q8foodq8 : 97939844  ‫أُرسلت من الـ iPhone‬ </t>
        </is>
      </c>
      <c r="E318" s="4" t="inlineStr">
        <is>
          <t>97939844</t>
        </is>
      </c>
      <c r="F318" s="2" t="inlineStr">
        <is>
          <t>Q8foodq8</t>
        </is>
      </c>
      <c r="G318" s="4" t="inlineStr">
        <is>
          <t>97939844</t>
        </is>
      </c>
    </row>
    <row r="319" ht="18" customHeight="1">
      <c r="A319" s="5" t="inlineStr">
        <is>
          <t>Sa3ad Almutairi &lt;sa3adov@icloud.com&gt;</t>
        </is>
      </c>
      <c r="B319" s="6" t="inlineStr">
        <is>
          <t>sa3adov@icloud.com</t>
        </is>
      </c>
      <c r="C319" s="5" t="inlineStr"/>
      <c r="D319" s="5" t="inlineStr">
        <is>
          <t>Hello! How can we help you?  Report سوبر 2005- : 94469969   Sent from my iPhone</t>
        </is>
      </c>
      <c r="E319" s="7" t="inlineStr">
        <is>
          <t>94469969</t>
        </is>
      </c>
      <c r="F319" s="5" t="inlineStr">
        <is>
          <t>سوبر 2005-</t>
        </is>
      </c>
      <c r="G319" s="7" t="inlineStr">
        <is>
          <t>94469969</t>
        </is>
      </c>
    </row>
    <row r="320" ht="18" customHeight="1">
      <c r="A320" s="2" t="inlineStr">
        <is>
          <t>Sa3ad Almutairi &lt;sa3adov@icloud.com&gt;</t>
        </is>
      </c>
      <c r="B320" s="3" t="inlineStr">
        <is>
          <t>sa3adov@icloud.com</t>
        </is>
      </c>
      <c r="C320" s="2" t="inlineStr"/>
      <c r="D320" s="2" t="inlineStr">
        <is>
          <t>Hello! How can we help you?  Report سعد مزاد : 94469969   Sent from my iPhone</t>
        </is>
      </c>
      <c r="E320" s="4" t="inlineStr">
        <is>
          <t>94469969</t>
        </is>
      </c>
      <c r="F320" s="2" t="inlineStr">
        <is>
          <t>سعد مزاد</t>
        </is>
      </c>
      <c r="G320" s="4" t="inlineStr">
        <is>
          <t>94469969</t>
        </is>
      </c>
    </row>
    <row r="321" ht="18" customHeight="1">
      <c r="A321" s="5" t="inlineStr">
        <is>
          <t>bndr M &lt;bndr_4u@icloud.com&gt;</t>
        </is>
      </c>
      <c r="B321" s="6" t="inlineStr">
        <is>
          <t>bndr_4u@icloud.com</t>
        </is>
      </c>
      <c r="C321" s="5">
        <f>?utf-8?B?2KfYs9mFINi62LHZitioINi62YrYsSDZhdix2LrZiNioINmB2Yo=?=  =?utf-8?B?2Yc=?=</f>
        <v/>
      </c>
      <c r="D321" s="5" t="inlineStr">
        <is>
          <t>Hello! How can we help you?  هذا الشخص مسجلي بأسم غريب غير مرغوب فيه يرجا مسح الاسم وشكراً  Report خنزر- : 69968999   ‫أُرسلت من الـ iPhone‬</t>
        </is>
      </c>
      <c r="E321" s="7" t="inlineStr">
        <is>
          <t>69968999</t>
        </is>
      </c>
      <c r="F321" s="5" t="inlineStr">
        <is>
          <t>خنزر-</t>
        </is>
      </c>
      <c r="G321" s="7" t="inlineStr">
        <is>
          <t>69968999</t>
        </is>
      </c>
    </row>
    <row r="322" ht="18" customHeight="1">
      <c r="A322" s="2" t="inlineStr">
        <is>
          <t>bndr M &lt;bndr_4u@icloud.com&gt;</t>
        </is>
      </c>
      <c r="B322" s="3" t="inlineStr">
        <is>
          <t>bndr_4u@icloud.com</t>
        </is>
      </c>
      <c r="C322" s="2">
        <f>?utf-8?B?2YfYsNinINin2YTYtNiu2LUg2YXYs9is2YQg2LHZgtmF2Yog2Kg=?=  =?utf-8?B?2KPYs9mFINio2YbYqg==?=</f>
        <v/>
      </c>
      <c r="D322" s="2" t="inlineStr">
        <is>
          <t>Hello! How can we help you?  سلام عليكم ارجو منكم مسح هذا الاسم ( لتفادي المشاكل العائليه ) شخص مسجلي بأسم بنت  ارجوووكم امسحووووه وشكراً  Report البندري الهاجري- : 69968999   ‫أُرسلت من الـ iPhone‬</t>
        </is>
      </c>
      <c r="E322" s="4" t="inlineStr">
        <is>
          <t>69968999</t>
        </is>
      </c>
      <c r="F322" s="2" t="inlineStr">
        <is>
          <t>البندري الهاجري-</t>
        </is>
      </c>
      <c r="G322" s="4" t="inlineStr">
        <is>
          <t>69968999</t>
        </is>
      </c>
    </row>
    <row r="323" ht="18" customHeight="1">
      <c r="A323" s="5" t="inlineStr">
        <is>
          <t>bndr M &lt;bndr_4u@icloud.com&gt;</t>
        </is>
      </c>
      <c r="B323" s="6" t="inlineStr">
        <is>
          <t>bndr_4u@icloud.com</t>
        </is>
      </c>
      <c r="C323" s="5">
        <f>?utf-8?B?2YfYsNinINin2YTYtNiu2LUg2YXYs9is2YQg2LHZgtmF2Yog2Kg=?=  =?utf-8?B?2KPYs9mFINio2YbYqg==?=</f>
        <v/>
      </c>
      <c r="D323" s="5" t="inlineStr">
        <is>
          <t>Hello! How can we help you?  سلام عليكم  ارجو منكم مسح هذا الاسم ( البندري الهاجري ) لتفادي المشاكل العائليه .. لان هذا الشخص مسجلي بأسم فتاة .. ارجوكم امسحوووووه وشكراً  Report بندرماجد- : 69968999   ‫أُرسلت من الـ iPhone‬</t>
        </is>
      </c>
      <c r="E323" s="7" t="inlineStr">
        <is>
          <t>69968999</t>
        </is>
      </c>
      <c r="F323" s="5" t="inlineStr">
        <is>
          <t>بندرماجد-</t>
        </is>
      </c>
      <c r="G323" s="7" t="inlineStr">
        <is>
          <t>69968999</t>
        </is>
      </c>
    </row>
    <row r="324" ht="18" customHeight="1">
      <c r="A324" s="2" t="inlineStr">
        <is>
          <t>Hanan Alonaizi &lt;miss_naniii@icloud.com&gt;</t>
        </is>
      </c>
      <c r="B324" s="3" t="inlineStr">
        <is>
          <t>miss_naniii@icloud.com</t>
        </is>
      </c>
      <c r="C324" s="2" t="inlineStr">
        <is>
          <t xml:space="preserve">Insulation </t>
        </is>
      </c>
      <c r="D324" s="2" t="inlineStr">
        <is>
          <t>Hello! How can we help you?  Report مهند فاروق ابليس ابو يوسف : 97733369   Sent from my iPhone</t>
        </is>
      </c>
      <c r="E324" s="4" t="inlineStr">
        <is>
          <t>97733369</t>
        </is>
      </c>
      <c r="F324" s="2" t="inlineStr">
        <is>
          <t>مهند فاروق ابليس ابو يوسف</t>
        </is>
      </c>
      <c r="G324" s="4" t="inlineStr">
        <is>
          <t>97733369</t>
        </is>
      </c>
    </row>
    <row r="325" ht="18" customHeight="1">
      <c r="A325" s="5">
        <f>?utf-8?B?2KfYqNix2KfZh9mK2YUg2KfZhNiu2KfZhNiv2Yo=?= 	&lt;ku1980@outlook.com&gt;</f>
        <v/>
      </c>
      <c r="B325" s="6" t="inlineStr">
        <is>
          <t>ku1980@outlook.com</t>
        </is>
      </c>
      <c r="C325" s="5">
        <f>?utf-8?B?2LrZitixINi12K3ZititINin2YTYp9iz2YUg?=</f>
        <v/>
      </c>
      <c r="D325" s="5" t="inlineStr">
        <is>
          <t xml:space="preserve">Hello! How can we help you?  Report ابومحسن حديد مخلص- : 50266624  أُرسلت </t>
        </is>
      </c>
      <c r="E325" s="7" t="inlineStr">
        <is>
          <t>50266624</t>
        </is>
      </c>
      <c r="F325" s="5" t="inlineStr">
        <is>
          <t>ابومحسن حديد مخلص-</t>
        </is>
      </c>
      <c r="G325" s="7" t="inlineStr">
        <is>
          <t>50266624</t>
        </is>
      </c>
    </row>
    <row r="326" ht="18" customHeight="1">
      <c r="A326" s="2">
        <f>?utf-8?B?2KfYqNix2KfZh9mK2YUg2KfZhNiu2KfZhNiv2Yo=?= 	&lt;ku1980@outlook.com&gt;</f>
        <v/>
      </c>
      <c r="B326" s="3" t="inlineStr">
        <is>
          <t>ku1980@outlook.com</t>
        </is>
      </c>
      <c r="C326" s="2">
        <f>?utf-8?B?2LrZitixINi12K3Zitit?=</f>
        <v/>
      </c>
      <c r="D326" s="2" t="inlineStr">
        <is>
          <t xml:space="preserve">Hello! How can we help you?  Report ابراهيم العجمي : 50266624  أُرسلت </t>
        </is>
      </c>
      <c r="E326" s="4" t="inlineStr">
        <is>
          <t>50266624</t>
        </is>
      </c>
      <c r="F326" s="2" t="inlineStr">
        <is>
          <t>ابراهيم العجمي</t>
        </is>
      </c>
      <c r="G326" s="4" t="inlineStr">
        <is>
          <t>50266624</t>
        </is>
      </c>
    </row>
    <row r="327" ht="18" customHeight="1">
      <c r="A327" s="5">
        <f>?utf-8?B?2LnYqNiv2KfZhNmE2Ycg2KfZhNmC2K3Yt9in2YbZig==?= &lt;abdullah_s1997@icloud.com&gt;</f>
        <v/>
      </c>
      <c r="B327" s="6" t="inlineStr">
        <is>
          <t>abdullah_s1997@icloud.com</t>
        </is>
      </c>
      <c r="C327" s="5" t="inlineStr"/>
      <c r="D327" s="5" t="inlineStr">
        <is>
          <t>Hello! How can we help you?  Report عبدالله قحطاني صديق عيالي- : 60601181    Sent from my iPhone</t>
        </is>
      </c>
      <c r="E327" s="7" t="inlineStr">
        <is>
          <t>60601181</t>
        </is>
      </c>
      <c r="F327" s="5" t="inlineStr">
        <is>
          <t>عبدالله قحطاني صديق عيالي-</t>
        </is>
      </c>
      <c r="G327" s="7" t="inlineStr">
        <is>
          <t>60601181</t>
        </is>
      </c>
    </row>
    <row r="328" ht="18" customHeight="1">
      <c r="A328" s="2" t="inlineStr">
        <is>
          <t>Fatma Al Sharrad &lt;fatma.alsharrad96@hotmail.com&gt;</t>
        </is>
      </c>
      <c r="B328" s="3" t="inlineStr">
        <is>
          <t>fatma.alsharrad96@hotmail.com</t>
        </is>
      </c>
      <c r="C328" s="2" t="inlineStr"/>
      <c r="D328" s="2" t="inlineStr">
        <is>
          <t xml:space="preserve">Hello! How can we help you?  Report caffeinated.965 : 66607371  Sent from my iPhone </t>
        </is>
      </c>
      <c r="E328" s="4" t="inlineStr">
        <is>
          <t>66607371</t>
        </is>
      </c>
      <c r="F328" s="2" t="inlineStr">
        <is>
          <t>caffeinated.965</t>
        </is>
      </c>
      <c r="G328" s="4" t="inlineStr">
        <is>
          <t>66607371</t>
        </is>
      </c>
    </row>
    <row r="329" ht="18" customHeight="1">
      <c r="A329" s="5" t="inlineStr">
        <is>
          <t>Fatma Al Sharrad &lt;fatma.alsharrad96@hotmail.com&gt;</t>
        </is>
      </c>
      <c r="B329" s="6" t="inlineStr">
        <is>
          <t>fatma.alsharrad96@hotmail.com</t>
        </is>
      </c>
      <c r="C329" s="5" t="inlineStr"/>
      <c r="D329" s="5" t="inlineStr">
        <is>
          <t xml:space="preserve">Hello! How can we help you?  Report Alsoda : 66607371  Sent from my iPhone </t>
        </is>
      </c>
      <c r="E329" s="7" t="inlineStr">
        <is>
          <t>66607371</t>
        </is>
      </c>
      <c r="F329" s="5" t="inlineStr">
        <is>
          <t>Alsoda</t>
        </is>
      </c>
      <c r="G329" s="7" t="inlineStr">
        <is>
          <t>66607371</t>
        </is>
      </c>
    </row>
    <row r="330" ht="18" customHeight="1">
      <c r="A330" s="2" t="inlineStr">
        <is>
          <t>Mariam Alkhaldi &lt;nznznjj@hotmail.com&gt;</t>
        </is>
      </c>
      <c r="B330" s="3" t="inlineStr">
        <is>
          <t>nznznjj@hotmail.com</t>
        </is>
      </c>
      <c r="C330" s="2">
        <f>?utf-8?B?2KfYs9in2KHYqQ==?=</f>
        <v/>
      </c>
      <c r="D330" s="2" t="inlineStr">
        <is>
          <t xml:space="preserve">Hello! How can we help you?  Report ققققققققققق : 66203385  ‫أُرسلت من الـ iPhone‬ </t>
        </is>
      </c>
      <c r="E330" s="4" t="inlineStr">
        <is>
          <t>66203385</t>
        </is>
      </c>
      <c r="F330" s="2" t="inlineStr">
        <is>
          <t>ققققققققققق</t>
        </is>
      </c>
      <c r="G330" s="4" t="inlineStr">
        <is>
          <t>66203385</t>
        </is>
      </c>
    </row>
    <row r="331" ht="18" customHeight="1">
      <c r="A331" s="5" t="inlineStr">
        <is>
          <t>Nawa Alazm &lt;nauaf1981@icloud.com&gt;</t>
        </is>
      </c>
      <c r="B331" s="6" t="inlineStr">
        <is>
          <t>nauaf1981@icloud.com</t>
        </is>
      </c>
      <c r="C331" s="5">
        <f>?utf-8?B?2KfZhNin2LPZhS4g2YbZiNi52KfZiyDZhdinINin2LPYp9im2Yc=?=</f>
        <v/>
      </c>
      <c r="D331" s="5" t="inlineStr">
        <is>
          <t>Hello! How can we help you?  Report نواف-الزبيري : 66500007   Nawaf Alazmi</t>
        </is>
      </c>
      <c r="E331" s="7" t="inlineStr">
        <is>
          <t>66500007</t>
        </is>
      </c>
      <c r="F331" s="5" t="inlineStr">
        <is>
          <t>نواف-الزبيري</t>
        </is>
      </c>
      <c r="G331" s="7" t="inlineStr">
        <is>
          <t>66500007</t>
        </is>
      </c>
    </row>
    <row r="332" ht="18" customHeight="1">
      <c r="A332" s="2" t="inlineStr">
        <is>
          <t>hani ashkanani &lt;Borussen_proud@hotmail.com&gt;</t>
        </is>
      </c>
      <c r="B332" s="3" t="inlineStr">
        <is>
          <t>Borussen_proud@hotmail.com</t>
        </is>
      </c>
      <c r="C332" s="2" t="inlineStr"/>
      <c r="D332" s="2" t="inlineStr">
        <is>
          <t xml:space="preserve">Hello! How can we help you?  Report هاني اشكناني زبون : 90090804  Sent from my iPhone </t>
        </is>
      </c>
      <c r="E332" s="4" t="inlineStr">
        <is>
          <t>90090804</t>
        </is>
      </c>
      <c r="F332" s="2" t="inlineStr">
        <is>
          <t>هاني اشكناني زبون</t>
        </is>
      </c>
      <c r="G332" s="4" t="inlineStr">
        <is>
          <t>90090804</t>
        </is>
      </c>
    </row>
    <row r="333" ht="18" customHeight="1">
      <c r="A333" s="5" t="inlineStr">
        <is>
          <t>hani ashkanani &lt;Borussen_proud@hotmail.com&gt;</t>
        </is>
      </c>
      <c r="B333" s="6" t="inlineStr">
        <is>
          <t>Borussen_proud@hotmail.com</t>
        </is>
      </c>
      <c r="C333" s="5" t="inlineStr"/>
      <c r="D333" s="5" t="inlineStr">
        <is>
          <t xml:space="preserve">Hello! How can we help you?  Report حطين بس : 90090804  Sent from my iPhone </t>
        </is>
      </c>
      <c r="E333" s="7" t="inlineStr">
        <is>
          <t>90090804</t>
        </is>
      </c>
      <c r="F333" s="5" t="inlineStr">
        <is>
          <t>حطين بس</t>
        </is>
      </c>
      <c r="G333" s="7" t="inlineStr">
        <is>
          <t>90090804</t>
        </is>
      </c>
    </row>
    <row r="334" ht="18" customHeight="1">
      <c r="A334" s="2" t="inlineStr">
        <is>
          <t>"asma .all" &lt;asomii88@yahoo.com&gt;</t>
        </is>
      </c>
      <c r="B334" s="3" t="inlineStr">
        <is>
          <t>asomii88@yahoo.com</t>
        </is>
      </c>
      <c r="C334" s="2" t="inlineStr"/>
      <c r="D334" s="2" t="inlineStr">
        <is>
          <t>Hello! How can we help you?  Report عبدالله دخيل : 97764760   ‫أُرسلت من الـ iPhone‬</t>
        </is>
      </c>
      <c r="E334" s="4" t="inlineStr">
        <is>
          <t>97764760</t>
        </is>
      </c>
      <c r="F334" s="2" t="inlineStr">
        <is>
          <t>عبدالله دخيل</t>
        </is>
      </c>
      <c r="G334" s="4" t="inlineStr">
        <is>
          <t>97764760</t>
        </is>
      </c>
    </row>
    <row r="335" ht="18" customHeight="1">
      <c r="A335" s="5" t="inlineStr">
        <is>
          <t>Sulaiman Alfailakawi &lt;salfailakawi1995@icloud.com&gt;</t>
        </is>
      </c>
      <c r="B335" s="6" t="inlineStr">
        <is>
          <t>salfailakawi1995@icloud.com</t>
        </is>
      </c>
      <c r="C335" s="5" t="inlineStr"/>
      <c r="D335" s="5" t="inlineStr">
        <is>
          <t>Hello! How can we help you?  Report Laser Man : 92299927   Sent from my iPhone</t>
        </is>
      </c>
      <c r="E335" s="7" t="inlineStr">
        <is>
          <t>92299927</t>
        </is>
      </c>
      <c r="F335" s="5" t="inlineStr">
        <is>
          <t>Laser Man</t>
        </is>
      </c>
      <c r="G335" s="7" t="inlineStr">
        <is>
          <t>92299927</t>
        </is>
      </c>
    </row>
    <row r="336" ht="18" customHeight="1">
      <c r="A336" s="2" t="inlineStr">
        <is>
          <t>Sulaiman Alfailakawi &lt;salfailakawi1995@icloud.com&gt;</t>
        </is>
      </c>
      <c r="B336" s="3" t="inlineStr">
        <is>
          <t>salfailakawi1995@icloud.com</t>
        </is>
      </c>
      <c r="C336" s="2" t="inlineStr"/>
      <c r="D336" s="2" t="inlineStr">
        <is>
          <t>Hello! How can we help you?  Report Laser : 92299927   Sent from my iPhone</t>
        </is>
      </c>
      <c r="E336" s="4" t="inlineStr">
        <is>
          <t>92299927</t>
        </is>
      </c>
      <c r="F336" s="2" t="inlineStr">
        <is>
          <t>Laser</t>
        </is>
      </c>
      <c r="G336" s="4" t="inlineStr">
        <is>
          <t>92299927</t>
        </is>
      </c>
    </row>
    <row r="337" ht="18" customHeight="1">
      <c r="A337" s="5" t="inlineStr">
        <is>
          <t>Abdullah Alsabea &lt;aalsabea96@gmail.com&gt;</t>
        </is>
      </c>
      <c r="B337" s="6" t="inlineStr">
        <is>
          <t>aalsabea96@gmail.com</t>
        </is>
      </c>
      <c r="C337" s="5" t="inlineStr"/>
      <c r="D337" s="5" t="inlineStr">
        <is>
          <t>Hello! How can we help you?  Report شعيوه : 99344551   Sent from my iPhone</t>
        </is>
      </c>
      <c r="E337" s="7" t="inlineStr">
        <is>
          <t>99344551</t>
        </is>
      </c>
      <c r="F337" s="5" t="inlineStr">
        <is>
          <t>شعيوه</t>
        </is>
      </c>
      <c r="G337" s="7" t="inlineStr">
        <is>
          <t>99344551</t>
        </is>
      </c>
    </row>
    <row r="338" ht="18" customHeight="1">
      <c r="A338" s="2" t="inlineStr">
        <is>
          <t>Abdullah Alsabea &lt;aalsabea96@gmail.com&gt;</t>
        </is>
      </c>
      <c r="B338" s="3" t="inlineStr">
        <is>
          <t>aalsabea96@gmail.com</t>
        </is>
      </c>
      <c r="C338" s="2" t="inlineStr"/>
      <c r="D338" s="2" t="inlineStr">
        <is>
          <t>Hello! How can we help you?  Report خرطوش : 99344551   Sent from my iPhone</t>
        </is>
      </c>
      <c r="E338" s="4" t="inlineStr">
        <is>
          <t>99344551</t>
        </is>
      </c>
      <c r="F338" s="2" t="inlineStr">
        <is>
          <t>خرطوش</t>
        </is>
      </c>
      <c r="G338" s="4" t="inlineStr">
        <is>
          <t>99344551</t>
        </is>
      </c>
    </row>
    <row r="339" ht="18" customHeight="1">
      <c r="A339" s="5" t="inlineStr">
        <is>
          <t>"=?utf-8?B?2LfZhNin2YQg2KPYrdmF2K8=?=" &lt;yrsmonk@gmail.com&gt;</t>
        </is>
      </c>
      <c r="B339" s="6" t="inlineStr">
        <is>
          <t>yrsmonk@gmail.com</t>
        </is>
      </c>
      <c r="C339" s="5">
        <f>?utf-8?B?2KfZhNix2KzYp9ihINmF2LPYrSDYp9mE2LHZgtmF?=</f>
        <v/>
      </c>
      <c r="D339" s="5" t="inlineStr">
        <is>
          <t>Hello! How can we help you?  Report طيبه العطوان : 99448008   ‏من ال iPhone الخاص بي</t>
        </is>
      </c>
      <c r="E339" s="7" t="inlineStr">
        <is>
          <t>99448008</t>
        </is>
      </c>
      <c r="F339" s="5" t="inlineStr">
        <is>
          <t>طيبه العطوان</t>
        </is>
      </c>
      <c r="G339" s="7" t="inlineStr">
        <is>
          <t>99448008</t>
        </is>
      </c>
    </row>
    <row r="340" ht="18" customHeight="1">
      <c r="A340" s="2" t="inlineStr">
        <is>
          <t>tahaalmosawi.ta@gmail.com</t>
        </is>
      </c>
      <c r="B340" s="3" t="inlineStr">
        <is>
          <t>tahaalmosawi.ta@gmail.com</t>
        </is>
      </c>
      <c r="C340" s="2" t="inlineStr"/>
      <c r="D340" s="2" t="inlineStr">
        <is>
          <t>Hello! How can we help you?  Report الجلب : 96620209   ‫أُرسلت من الـ iPhone‬</t>
        </is>
      </c>
      <c r="E340" s="4" t="inlineStr">
        <is>
          <t>96620209</t>
        </is>
      </c>
      <c r="F340" s="2" t="inlineStr">
        <is>
          <t>الجلب</t>
        </is>
      </c>
      <c r="G340" s="4" t="inlineStr">
        <is>
          <t>96620209</t>
        </is>
      </c>
    </row>
    <row r="341" ht="18" customHeight="1">
      <c r="A341" s="5" t="inlineStr">
        <is>
          <t>khaled alazemi &lt;alazmykhald95@icloud.com&gt;</t>
        </is>
      </c>
      <c r="B341" s="6" t="inlineStr">
        <is>
          <t>alazmykhald95@icloud.com</t>
        </is>
      </c>
      <c r="C341" s="5">
        <f>?utf-8?B?2KfYs9mFINi62YrYsSDZhNin2KbZgg==?=</f>
        <v/>
      </c>
      <c r="D341" s="5" t="inlineStr">
        <is>
          <t>Hello! How can we help you?  Report 2009يريد قطع البااايخ دورلي : 98858134   ‫أُرسلت من الـ iPhone‬</t>
        </is>
      </c>
      <c r="E341" s="7" t="inlineStr">
        <is>
          <t>98858134</t>
        </is>
      </c>
      <c r="F341" s="5" t="inlineStr">
        <is>
          <t>2009يريد قطع البااايخ دورلي</t>
        </is>
      </c>
      <c r="G341" s="7" t="inlineStr">
        <is>
          <t>98858134</t>
        </is>
      </c>
    </row>
    <row r="342" ht="18" customHeight="1">
      <c r="A342" s="2" t="inlineStr">
        <is>
          <t>KHALED ALAZMI &lt;kkaqt15@gmail.com&gt;</t>
        </is>
      </c>
      <c r="B342" s="3" t="inlineStr">
        <is>
          <t>kkaqt15@gmail.com</t>
        </is>
      </c>
      <c r="C342" s="2" t="inlineStr"/>
      <c r="D342" s="2" t="inlineStr">
        <is>
          <t>Hello! How can we help you?  Report خالد الصواغ ولد خديجه 7/11/2021 : 55107496   ‫أُرسلت من الـ iPhone‬</t>
        </is>
      </c>
      <c r="E342" s="4" t="inlineStr">
        <is>
          <t>55107496</t>
        </is>
      </c>
      <c r="F342" s="2" t="inlineStr">
        <is>
          <t>خالد الصواغ ولد خديجه 7/11/2021</t>
        </is>
      </c>
      <c r="G342" s="4" t="inlineStr">
        <is>
          <t>55107496</t>
        </is>
      </c>
    </row>
    <row r="343" ht="18" customHeight="1">
      <c r="A343" s="5">
        <f>?utf-8?B?2YLZhtin2Kkg2YXYstin2Kw=?= &lt;fahadalkhanfor@gmail.com&gt;</f>
        <v/>
      </c>
      <c r="B343" s="6" t="inlineStr">
        <is>
          <t>fahadalkhanfor@gmail.com</t>
        </is>
      </c>
      <c r="C343" s="5">
        <f>?utf-8?B?UmU6INin2YTYp9iz2YUg2K7Yt9ij?=</f>
        <v/>
      </c>
      <c r="D343" s="5" t="inlineStr">
        <is>
          <t xml:space="preserve">  &gt; ‫في 13‏/10‏/2025 الساعة 1:10 ص، كتب/كتبت ‏قناة مزاج ‏&lt;fahadalkhanfor@gmail.com&gt;:‬ &gt;  &gt; ﻿ &gt; Hello! How can we help you? &gt;  &gt; Report فهد خالد الخنفور2- : 60444905 &gt;  &gt;  &gt;  &gt; الاسم خطأ &gt;  </t>
        </is>
      </c>
      <c r="E343" s="7" t="inlineStr">
        <is>
          <t>60444905</t>
        </is>
      </c>
      <c r="F343" s="5" t="inlineStr">
        <is>
          <t>فهد خالد الخنفور2-</t>
        </is>
      </c>
      <c r="G343" s="7" t="inlineStr">
        <is>
          <t>60444905</t>
        </is>
      </c>
    </row>
    <row r="344" ht="18" customHeight="1">
      <c r="A344" s="2" t="inlineStr">
        <is>
          <t>abdullah kwt &lt;abdullah2003a@yahoo.com&gt;</t>
        </is>
      </c>
      <c r="B344" s="3" t="inlineStr">
        <is>
          <t>abdullah2003a@yahoo.com</t>
        </is>
      </c>
      <c r="C344" s="2" t="inlineStr"/>
      <c r="D344" s="2" t="inlineStr">
        <is>
          <t>Hello! How can we help you?  Report Harrods : 51650606   Sent from my iPhone</t>
        </is>
      </c>
      <c r="E344" s="4" t="inlineStr">
        <is>
          <t>51650606</t>
        </is>
      </c>
      <c r="F344" s="2" t="inlineStr">
        <is>
          <t>Harrods</t>
        </is>
      </c>
      <c r="G344" s="4" t="inlineStr">
        <is>
          <t>51650606</t>
        </is>
      </c>
    </row>
    <row r="345" ht="18" customHeight="1">
      <c r="A345" s="5" t="inlineStr">
        <is>
          <t>abdullah kwt &lt;abdullah2003a@yahoo.com&gt;</t>
        </is>
      </c>
      <c r="B345" s="6" t="inlineStr">
        <is>
          <t>abdullah2003a@yahoo.com</t>
        </is>
      </c>
      <c r="C345" s="5" t="inlineStr"/>
      <c r="D345" s="5" t="inlineStr">
        <is>
          <t>Hello! How can we help you?  Report عبود ولد نوف : 51650606   Sent from my iPhone</t>
        </is>
      </c>
      <c r="E345" s="7" t="inlineStr">
        <is>
          <t>51650606</t>
        </is>
      </c>
      <c r="F345" s="5" t="inlineStr">
        <is>
          <t>عبود ولد نوف</t>
        </is>
      </c>
      <c r="G345" s="7" t="inlineStr">
        <is>
          <t>51650606</t>
        </is>
      </c>
    </row>
    <row r="346" ht="18" customHeight="1">
      <c r="A346" s="2" t="inlineStr">
        <is>
          <t>abdullah kwt &lt;abdullah2003a@yahoo.com&gt;</t>
        </is>
      </c>
      <c r="B346" s="3" t="inlineStr">
        <is>
          <t>abdullah2003a@yahoo.com</t>
        </is>
      </c>
      <c r="C346" s="2" t="inlineStr"/>
      <c r="D346" s="2" t="inlineStr">
        <is>
          <t>Hello! How can we help you?  Report عبودي : 51650606   Sent from my iPhone</t>
        </is>
      </c>
      <c r="E346" s="4" t="inlineStr">
        <is>
          <t>51650606</t>
        </is>
      </c>
      <c r="F346" s="2" t="inlineStr">
        <is>
          <t>عبودي</t>
        </is>
      </c>
      <c r="G346" s="4" t="inlineStr">
        <is>
          <t>51650606</t>
        </is>
      </c>
    </row>
    <row r="347" ht="18" customHeight="1">
      <c r="A347" s="5" t="inlineStr">
        <is>
          <t>abdullah kwt &lt;abdullah2003a@yahoo.com&gt;</t>
        </is>
      </c>
      <c r="B347" s="6" t="inlineStr">
        <is>
          <t>abdullah2003a@yahoo.com</t>
        </is>
      </c>
      <c r="C347" s="5" t="inlineStr"/>
      <c r="D347" s="5" t="inlineStr">
        <is>
          <t>Hello! How can we help you?  Report عبودي نور عيوني : 51650606   Sent from my iPhone</t>
        </is>
      </c>
      <c r="E347" s="7" t="inlineStr">
        <is>
          <t>51650606</t>
        </is>
      </c>
      <c r="F347" s="5" t="inlineStr">
        <is>
          <t>عبودي نور عيوني</t>
        </is>
      </c>
      <c r="G347" s="7" t="inlineStr">
        <is>
          <t>51650606</t>
        </is>
      </c>
    </row>
    <row r="348" ht="18" customHeight="1">
      <c r="A348" s="2" t="inlineStr">
        <is>
          <t>BaDeR &lt;bigbaderr@gmail.com&gt;</t>
        </is>
      </c>
      <c r="B348" s="3" t="inlineStr">
        <is>
          <t>bigbaderr@gmail.com</t>
        </is>
      </c>
      <c r="C348" s="2">
        <f>?utf-8?B?2KfZhNix2KzYp9ihINin2YTYutin2KEg2YfYsNinINin2YTYp9iz?=  =?utf-8?B?2YUg2YXZhiDYqNix2YbYp9mF2Kwg2YXZhtmIINiv2KfZgiA=?=</f>
        <v/>
      </c>
      <c r="D348" s="2" t="inlineStr">
        <is>
          <t>Hello! How can we help you?  Report بدر شؤون : 55003370   ‫أُرسلت من الـ iPhone‬</t>
        </is>
      </c>
      <c r="E348" s="4" t="inlineStr">
        <is>
          <t>55003370</t>
        </is>
      </c>
      <c r="F348" s="2" t="inlineStr">
        <is>
          <t>بدر شؤون</t>
        </is>
      </c>
      <c r="G348" s="4" t="inlineStr">
        <is>
          <t>55003370</t>
        </is>
      </c>
    </row>
    <row r="349" ht="18" customHeight="1">
      <c r="A349" s="5">
        <f>?utf-8?B?2YXYrdmF2K8g2KfZhNiz2KfZitix?= &lt;77alsayr@gmail.com&gt;</f>
        <v/>
      </c>
      <c r="B349" s="6" t="inlineStr">
        <is>
          <t>77alsayr@gmail.com</t>
        </is>
      </c>
      <c r="C349" s="5" t="inlineStr"/>
      <c r="D349" s="5" t="inlineStr">
        <is>
          <t>Hello! How can we help you?  Report مخيم مبيوق : 99039285   ‫أُرسلت من الـ iPhone‬</t>
        </is>
      </c>
      <c r="E349" s="7" t="inlineStr">
        <is>
          <t>99039285</t>
        </is>
      </c>
      <c r="F349" s="5" t="inlineStr">
        <is>
          <t>مخيم مبيوق</t>
        </is>
      </c>
      <c r="G349" s="7" t="inlineStr">
        <is>
          <t>99039285</t>
        </is>
      </c>
    </row>
    <row r="350" ht="18" customHeight="1">
      <c r="A350" s="2" t="inlineStr">
        <is>
          <t>Faten Al-Dehainah &lt;fatenaldehainah@gmail.com&gt;</t>
        </is>
      </c>
      <c r="B350" s="3" t="inlineStr">
        <is>
          <t>fatenaldehainah@gmail.com</t>
        </is>
      </c>
      <c r="C350" s="2" t="inlineStr"/>
      <c r="D350" s="2" t="inlineStr">
        <is>
          <t xml:space="preserve">Hello! How can we help you?  Report Jtha Fatn : 94111161  </t>
        </is>
      </c>
      <c r="E350" s="4" t="inlineStr">
        <is>
          <t>94111161</t>
        </is>
      </c>
      <c r="F350" s="2" t="inlineStr">
        <is>
          <t>Jtha Fatn</t>
        </is>
      </c>
      <c r="G350" s="4" t="inlineStr">
        <is>
          <t>94111161</t>
        </is>
      </c>
    </row>
    <row r="351" ht="18" customHeight="1">
      <c r="A351" s="5" t="inlineStr">
        <is>
          <t>AMR Saad &lt;appap32@gmail.com&gt;</t>
        </is>
      </c>
      <c r="B351" s="6" t="inlineStr">
        <is>
          <t>appap32@gmail.com</t>
        </is>
      </c>
      <c r="C351" s="5" t="inlineStr"/>
      <c r="D351" s="5" t="inlineStr">
        <is>
          <t xml:space="preserve">Hello! How can we help you?  Report عمرو الفشخرت- : 60002212   Sent from my iPhone اريد  الغاء  هذا  الاسم </t>
        </is>
      </c>
      <c r="E351" s="7" t="inlineStr">
        <is>
          <t>60002212</t>
        </is>
      </c>
      <c r="F351" s="5" t="inlineStr">
        <is>
          <t>عمرو الفشخرت-</t>
        </is>
      </c>
      <c r="G351" s="7" t="inlineStr">
        <is>
          <t>60002212</t>
        </is>
      </c>
    </row>
    <row r="352" ht="18" customHeight="1">
      <c r="A352" s="2" t="inlineStr">
        <is>
          <t>Omar Alkhadra &lt;omaralkhadra@hotmail.com&gt;</t>
        </is>
      </c>
      <c r="B352" s="3" t="inlineStr">
        <is>
          <t>omaralkhadra@hotmail.com</t>
        </is>
      </c>
      <c r="C352" s="2" t="inlineStr"/>
      <c r="D352" s="2" t="inlineStr">
        <is>
          <t xml:space="preserve">Hello! How can we help you?  Report عمر ابو مروان : 55556675  Wrong could u please removd this? </t>
        </is>
      </c>
      <c r="E352" s="4" t="inlineStr">
        <is>
          <t>55556675</t>
        </is>
      </c>
      <c r="F352" s="2" t="inlineStr">
        <is>
          <t>عمر ابو مروان</t>
        </is>
      </c>
      <c r="G352" s="4" t="inlineStr">
        <is>
          <t>55556675</t>
        </is>
      </c>
    </row>
    <row r="353" ht="18" customHeight="1">
      <c r="A353" s="5" t="inlineStr">
        <is>
          <t>Bader Al-Ajmi &lt;bajmi@hotmail.com&gt;</t>
        </is>
      </c>
      <c r="B353" s="6" t="inlineStr">
        <is>
          <t>bajmi@hotmail.com</t>
        </is>
      </c>
      <c r="C353" s="5" t="inlineStr"/>
      <c r="D353" s="5" t="inlineStr">
        <is>
          <t xml:space="preserve">Hello! How can we help you?  Report بدر المصري- : 99820775  Sent from my iPhone </t>
        </is>
      </c>
      <c r="E353" s="7" t="inlineStr">
        <is>
          <t>99820775</t>
        </is>
      </c>
      <c r="F353" s="5" t="inlineStr">
        <is>
          <t>بدر المصري-</t>
        </is>
      </c>
      <c r="G353" s="7" t="inlineStr">
        <is>
          <t>99820775</t>
        </is>
      </c>
    </row>
    <row r="354" ht="18" customHeight="1">
      <c r="A354" s="2" t="inlineStr">
        <is>
          <t>Fatma &lt;faalrsh6@gmail.com&gt;</t>
        </is>
      </c>
      <c r="B354" s="3" t="inlineStr">
        <is>
          <t>faalrsh6@gmail.com</t>
        </is>
      </c>
      <c r="C354" s="2" t="inlineStr">
        <is>
          <t xml:space="preserve">Delete the name please </t>
        </is>
      </c>
      <c r="D354" s="2" t="inlineStr">
        <is>
          <t>Hello! How can we help you?  Report فاطمة الصليبية : 99005269   Sent from my iPhone</t>
        </is>
      </c>
      <c r="E354" s="4" t="inlineStr">
        <is>
          <t>99005269</t>
        </is>
      </c>
      <c r="F354" s="2" t="inlineStr">
        <is>
          <t>فاطمة الصليبية</t>
        </is>
      </c>
      <c r="G354" s="4" t="inlineStr">
        <is>
          <t>99005269</t>
        </is>
      </c>
    </row>
    <row r="355" ht="18" customHeight="1">
      <c r="A355" s="5" t="inlineStr">
        <is>
          <t>Fatma &lt;faalrsh6@gmail.com&gt;</t>
        </is>
      </c>
      <c r="B355" s="6" t="inlineStr">
        <is>
          <t>faalrsh6@gmail.com</t>
        </is>
      </c>
      <c r="C355" s="5" t="inlineStr"/>
      <c r="D355" s="5" t="inlineStr">
        <is>
          <t>Hello! How can we help you?  Report فاطمة الصليبية : 99005269   Sent from my iPhone</t>
        </is>
      </c>
      <c r="E355" s="7" t="inlineStr">
        <is>
          <t>99005269</t>
        </is>
      </c>
      <c r="F355" s="5" t="inlineStr">
        <is>
          <t>فاطمة الصليبية</t>
        </is>
      </c>
      <c r="G355" s="7" t="inlineStr">
        <is>
          <t>99005269</t>
        </is>
      </c>
    </row>
    <row r="356" ht="18" customHeight="1">
      <c r="A356" s="2" t="inlineStr">
        <is>
          <t>Nouf ALRashede &lt;noufq891@gmail.com&gt;</t>
        </is>
      </c>
      <c r="B356" s="3" t="inlineStr">
        <is>
          <t>noufq891@gmail.com</t>
        </is>
      </c>
      <c r="C356" s="2" t="inlineStr"/>
      <c r="D356" s="2" t="inlineStr">
        <is>
          <t>Hello! How can we help you?  Report ي كرهي ! : 55777080   ‫أُرسلت من الـ iPhone‬ هذا  رقمي 55777080 وفي شخص مسجل رقمي  بصفه  غير لائقه</t>
        </is>
      </c>
      <c r="E356" s="4" t="inlineStr">
        <is>
          <t>55777080</t>
        </is>
      </c>
      <c r="F356" s="2" t="inlineStr">
        <is>
          <t>ي كرهي !</t>
        </is>
      </c>
      <c r="G356" s="4" t="inlineStr">
        <is>
          <t>55777080</t>
        </is>
      </c>
    </row>
    <row r="357" ht="18" customHeight="1">
      <c r="A357" s="5" t="inlineStr">
        <is>
          <t>Bm-b94 &lt;almothanaalmounes@gmail.com&gt;</t>
        </is>
      </c>
      <c r="B357" s="6" t="inlineStr">
        <is>
          <t>almothanaalmounes@gmail.com</t>
        </is>
      </c>
      <c r="C357" s="5" t="inlineStr"/>
      <c r="D357" s="5" t="inlineStr">
        <is>
          <t xml:space="preserve">Hello! How can we help you?  Report شقق : 69655530   M_bmB  </t>
        </is>
      </c>
      <c r="E357" s="7" t="inlineStr">
        <is>
          <t>69655530</t>
        </is>
      </c>
      <c r="F357" s="5" t="inlineStr">
        <is>
          <t>شقق</t>
        </is>
      </c>
      <c r="G357" s="7" t="inlineStr">
        <is>
          <t>69655530</t>
        </is>
      </c>
    </row>
    <row r="358" ht="18" customHeight="1">
      <c r="A358" s="2" t="inlineStr">
        <is>
          <t>Bm-b94 &lt;almothanaalmounes@gmail.com&gt;</t>
        </is>
      </c>
      <c r="B358" s="3" t="inlineStr">
        <is>
          <t>almothanaalmounes@gmail.com</t>
        </is>
      </c>
      <c r="C358" s="2">
        <f>?utf-8?B?2KfYs9mFINi62YrYsSDZhNin2KbZgiDZiNmK2LPYqNioINin2YQ=?=  =?utf-8?B?2YPYq9mK2LEg2YXZhiDYp9mE2YXYtNin2YPZhCA=?=</f>
        <v/>
      </c>
      <c r="D358" s="2" t="inlineStr">
        <is>
          <t xml:space="preserve">Hello! How can we help you?  Report شقق : 69655530   M_bmB  </t>
        </is>
      </c>
      <c r="E358" s="4" t="inlineStr">
        <is>
          <t>69655530</t>
        </is>
      </c>
      <c r="F358" s="2" t="inlineStr">
        <is>
          <t>شقق</t>
        </is>
      </c>
      <c r="G358" s="4" t="inlineStr">
        <is>
          <t>69655530</t>
        </is>
      </c>
    </row>
    <row r="359" ht="18" customHeight="1">
      <c r="A359" s="5">
        <f>?utf-8?B?2LnYqNiv2KfZhNmE2Ycg2KfZhNi52YbYstmK?= &lt;aa.b.aq8@gmail.com&gt;</f>
        <v/>
      </c>
      <c r="B359" s="6" t="inlineStr">
        <is>
          <t>aa.b.aq8@gmail.com</t>
        </is>
      </c>
      <c r="C359" s="5">
        <f>?utf-8?Q?=D8=A7=D8=B1=D8=AC=D9=88_=D8=AD=D8=B0=D9=81_=D8=B1?=  =?utf-8?Q?=D9=82=D9=85=D9=8A_=D9=85=D9=86_=D9=85=D9=86=D9=88_?=  =?utf-8?Q?=D8=AF=D8=A7=D9=82_66057911?=</f>
        <v/>
      </c>
      <c r="D359" s="5" t="inlineStr">
        <is>
          <t>Hello! How can we help you?  Report علي العنزي الطقس : 66057911   ‫أُرسلت من الـ iPhone‬</t>
        </is>
      </c>
      <c r="E359" s="7" t="inlineStr">
        <is>
          <t>66057911</t>
        </is>
      </c>
      <c r="F359" s="5" t="inlineStr">
        <is>
          <t>علي العنزي الطقس</t>
        </is>
      </c>
      <c r="G359" s="7" t="inlineStr">
        <is>
          <t>66057911</t>
        </is>
      </c>
    </row>
    <row r="360" ht="18" customHeight="1">
      <c r="A360" s="2" t="inlineStr">
        <is>
          <t>mariam alazmi &lt;ilsan3aa@hotmail.com&gt;</t>
        </is>
      </c>
      <c r="B360" s="3" t="inlineStr">
        <is>
          <t>ilsan3aa@hotmail.com</t>
        </is>
      </c>
      <c r="C360" s="2">
        <f>?utf-8?B?2YXZhdmD2YYg2YrZhti02KfZhCAhIQ==?=</f>
        <v/>
      </c>
      <c r="D360" s="2" t="inlineStr">
        <is>
          <t xml:space="preserve">Hello! How can we help you?  Report زباله : 99114346  Can you remove this name please احذف هذا اللقب لوسمحت ‫أُرسلت من الـ iPhone‬ </t>
        </is>
      </c>
      <c r="E360" s="4" t="inlineStr">
        <is>
          <t>99114346</t>
        </is>
      </c>
      <c r="F360" s="2" t="inlineStr">
        <is>
          <t>زباله</t>
        </is>
      </c>
      <c r="G360" s="4" t="inlineStr">
        <is>
          <t>99114346</t>
        </is>
      </c>
    </row>
    <row r="361" ht="18" customHeight="1">
      <c r="A361" s="5" t="inlineStr">
        <is>
          <t>stealth saleh &lt;stealthsaleh@gmail.com&gt;</t>
        </is>
      </c>
      <c r="B361" s="6" t="inlineStr">
        <is>
          <t>stealthsaleh@gmail.com</t>
        </is>
      </c>
      <c r="C361" s="5">
        <f>?utf-8?B?2YrYsdis2Ykg2K3YsNmBINmH2LDYpyDYp9mE2KfYs9mFINmE2Kc=?=  =?utf-8?B?2YbZhyDZhdiz2KjYqNmE2Yog2KfYrdix2KfYrNin2Kog2KfZhtin?=  =?utf-8?B?INin2LPZhdmKINmG2KfYtdixINmF2Ygg2YbZiNix2Ycg2YjYrNin?=  =?utf-8?B?2YrYqNmE2Yog2KfZhNi02KjZh9mH?=</f>
        <v/>
      </c>
      <c r="D361" s="5" t="inlineStr">
        <is>
          <t>Hello! How can we help you?  Report Nora Flchawi : 96677003   Sent from my iPhone</t>
        </is>
      </c>
      <c r="E361" s="7" t="inlineStr">
        <is>
          <t>96677003</t>
        </is>
      </c>
      <c r="F361" s="5" t="inlineStr">
        <is>
          <t>Nora Flchawi</t>
        </is>
      </c>
      <c r="G361" s="7" t="inlineStr">
        <is>
          <t>96677003</t>
        </is>
      </c>
    </row>
    <row r="362" ht="18" customHeight="1">
      <c r="A362" s="2" t="inlineStr">
        <is>
          <t>B K &lt;nseeetne@gmail.com&gt;</t>
        </is>
      </c>
      <c r="B362" s="3" t="inlineStr">
        <is>
          <t>nseeetne@gmail.com</t>
        </is>
      </c>
      <c r="C362" s="2">
        <f>?utf-8?B?2K3YsNmBINin2YTYp9iz2YUg2YXZhiDYqNit2Ksg2KfZhNix2YI=?=  =?utf-8?B?2YU=?=</f>
        <v/>
      </c>
      <c r="D362" s="2" t="inlineStr">
        <is>
          <t>Hello! How can we help you?  Report ام بندر : 52225008  السلام عليكم الرجاء حذف هذا الاسم يسبب مشاكل لي ‏‫من الـ iPhone الخاص بي‬</t>
        </is>
      </c>
      <c r="E362" s="4" t="inlineStr">
        <is>
          <t>52225008</t>
        </is>
      </c>
      <c r="F362" s="2" t="inlineStr">
        <is>
          <t>ام بندر</t>
        </is>
      </c>
      <c r="G362" s="4" t="inlineStr">
        <is>
          <t>52225008</t>
        </is>
      </c>
    </row>
    <row r="363" ht="18" customHeight="1">
      <c r="A363" s="5" t="inlineStr">
        <is>
          <t>Yousef Khaleel &lt;yousef.v12@icloud.com&gt;</t>
        </is>
      </c>
      <c r="B363" s="6" t="inlineStr">
        <is>
          <t>yousef.v12@icloud.com</t>
        </is>
      </c>
      <c r="C363" s="5" t="inlineStr"/>
      <c r="D363" s="5" t="inlineStr">
        <is>
          <t>Hello! How can we help you?  Report النعامه- : 67669606   Sent from my iPhone</t>
        </is>
      </c>
      <c r="E363" s="7" t="inlineStr">
        <is>
          <t>67669606</t>
        </is>
      </c>
      <c r="F363" s="5" t="inlineStr">
        <is>
          <t>النعامه-</t>
        </is>
      </c>
      <c r="G363" s="7" t="inlineStr">
        <is>
          <t>67669606</t>
        </is>
      </c>
    </row>
    <row r="364" ht="18" customHeight="1">
      <c r="A364" s="2" t="inlineStr">
        <is>
          <t>hamo ooooodq &lt;hamoooooodq8kw@icloud.com&gt;</t>
        </is>
      </c>
      <c r="B364" s="3" t="inlineStr">
        <is>
          <t>hamoooooodq8kw@icloud.com</t>
        </is>
      </c>
      <c r="C364" s="2">
        <f>?utf-8?B?2YXYs9itINin2YTYqti52YTZitmC?=</f>
        <v/>
      </c>
      <c r="D364" s="2" t="inlineStr">
        <is>
          <t xml:space="preserve">Hello! How can we help you?  Report خدوج بورش : 94772225   ‫أُرسلت من الـ iPhone‬ الرجاء مسح التعليق   </t>
        </is>
      </c>
      <c r="E364" s="4" t="inlineStr">
        <is>
          <t>94772225</t>
        </is>
      </c>
      <c r="F364" s="2" t="inlineStr">
        <is>
          <t>خدوج بورش</t>
        </is>
      </c>
      <c r="G364" s="4" t="inlineStr">
        <is>
          <t>94772225</t>
        </is>
      </c>
    </row>
    <row r="365" ht="18" customHeight="1">
      <c r="A365" s="5">
        <f>?utf-8?B?2YXYrdmF2K8g2KfZhNiy2LnYqNmK?= &lt;mmopsa7@gmail.com&gt;</f>
        <v/>
      </c>
      <c r="B365" s="6" t="inlineStr">
        <is>
          <t>mmopsa7@gmail.com</t>
        </is>
      </c>
      <c r="C365" s="5">
        <f>?utf-8?B?INmD2YTZhdmHINio2LDZitim2Ycg2KfYsdis2Ygg2YXYs9it2Yc=?=  =?utf-8?B?2Kc=?=</f>
        <v/>
      </c>
      <c r="D365" s="5" t="inlineStr">
        <is>
          <t>Hello! How can we help you?  Report تنكه محمد صبيح : 66177159   ‫أُرسلت من الـ iPhone‬</t>
        </is>
      </c>
      <c r="E365" s="7" t="inlineStr">
        <is>
          <t>66177159</t>
        </is>
      </c>
      <c r="F365" s="5" t="inlineStr">
        <is>
          <t>تنكه محمد صبيح</t>
        </is>
      </c>
      <c r="G365" s="7" t="inlineStr">
        <is>
          <t>66177159</t>
        </is>
      </c>
    </row>
    <row r="366" ht="18" customHeight="1">
      <c r="A366" s="2" t="inlineStr">
        <is>
          <t>Faisal Albannay &lt;elf9ly@icloud.com&gt;</t>
        </is>
      </c>
      <c r="B366" s="3" t="inlineStr">
        <is>
          <t>elf9ly@icloud.com</t>
        </is>
      </c>
      <c r="C366" s="2">
        <f>?utf-8?B?2YXYs9itINin2YTYp9iz2YU=?=</f>
        <v/>
      </c>
      <c r="D366" s="2" t="inlineStr">
        <is>
          <t>ممكن تمسح الاسم  Report فيصل : 41000102   Sent from my iPhone</t>
        </is>
      </c>
      <c r="E366" s="4" t="inlineStr">
        <is>
          <t>41000102</t>
        </is>
      </c>
      <c r="F366" s="2" t="inlineStr">
        <is>
          <t>فيصل</t>
        </is>
      </c>
      <c r="G366" s="4" t="inlineStr">
        <is>
          <t>41000102</t>
        </is>
      </c>
    </row>
    <row r="367" ht="18" customHeight="1">
      <c r="A367" s="5" t="inlineStr">
        <is>
          <t>mariam alshaiji &lt;mariam-alshaiji@hotmail.com&gt;</t>
        </is>
      </c>
      <c r="B367" s="6" t="inlineStr">
        <is>
          <t>mariam-alshaiji@hotmail.com</t>
        </is>
      </c>
      <c r="C367" s="5" t="inlineStr"/>
      <c r="D367" s="5" t="inlineStr">
        <is>
          <t xml:space="preserve">Hello! How can we help you?  Report سارة الشهداء ق1 ش107م107 مريم : 97214427    الرجاء مسح عنوان المنزل للضروره </t>
        </is>
      </c>
      <c r="E367" s="7" t="inlineStr">
        <is>
          <t>97214427</t>
        </is>
      </c>
      <c r="F367" s="5" t="inlineStr">
        <is>
          <t>سارة الشهداء ق1 ش107م107 مريم</t>
        </is>
      </c>
      <c r="G367" s="7" t="inlineStr">
        <is>
          <t>97214427</t>
        </is>
      </c>
    </row>
    <row r="368" ht="18" customHeight="1">
      <c r="A368" s="2" t="inlineStr">
        <is>
          <t>Tariq alfarisi &lt;taalfarisi77@gmail.com&gt;</t>
        </is>
      </c>
      <c r="B368" s="3" t="inlineStr">
        <is>
          <t>taalfarisi77@gmail.com</t>
        </is>
      </c>
      <c r="C368" s="2" t="inlineStr"/>
      <c r="D368" s="2" t="inlineStr">
        <is>
          <t xml:space="preserve">Hello! How can we help you?  Report Bez Tariq 80- : 97430003   Sent from my iPhoneالرجاء مسح الرقم </t>
        </is>
      </c>
      <c r="E368" s="4" t="inlineStr">
        <is>
          <t>97430003</t>
        </is>
      </c>
      <c r="F368" s="2" t="inlineStr">
        <is>
          <t>Bez Tariq 80-</t>
        </is>
      </c>
      <c r="G368" s="4" t="inlineStr">
        <is>
          <t>97430003</t>
        </is>
      </c>
    </row>
    <row r="369" ht="18" customHeight="1">
      <c r="A369" s="5" t="inlineStr">
        <is>
          <t>Abdulla Alkandry &lt;a.rowghni@gmail.com&gt;</t>
        </is>
      </c>
      <c r="B369" s="6" t="inlineStr">
        <is>
          <t>a.rowghni@gmail.com</t>
        </is>
      </c>
      <c r="C369" s="5">
        <f>?utf-8?B?2KfZhNix2KzYp9ihINin2YTYutin2KEg2YfYsNinINin2YTYp9iz?=  =?utf-8?B?2YUg2YTZitizINin2LPZhdmKIA==?=</f>
        <v/>
      </c>
      <c r="D369" s="5" t="inlineStr">
        <is>
          <t>Hello! How can we help you?  Report ايمان- : 99906606  يرجى شطب الاسم مو اسمي  ‫أُرسلت من الـ iPhone‬</t>
        </is>
      </c>
      <c r="E369" s="7" t="inlineStr">
        <is>
          <t>99906606</t>
        </is>
      </c>
      <c r="F369" s="5" t="inlineStr">
        <is>
          <t>ايمان-</t>
        </is>
      </c>
      <c r="G369" s="7" t="inlineStr">
        <is>
          <t>99906606</t>
        </is>
      </c>
    </row>
    <row r="370" ht="18" customHeight="1">
      <c r="A370" s="2" t="inlineStr">
        <is>
          <t>abdullah elhmade &lt;abdullah7elhmade@gmail.com&gt;</t>
        </is>
      </c>
      <c r="B370" s="3" t="inlineStr">
        <is>
          <t>abdullah7elhmade@gmail.com</t>
        </is>
      </c>
      <c r="C370" s="2">
        <f>?utf-8?B?2KfYs9in2KHYqSDZhNmE2KPYs9mF?=</f>
        <v/>
      </c>
      <c r="D370" s="2" t="inlineStr">
        <is>
          <t>Hello! How can we help you?  Report يبيع جلب جيرمن : 56665654   Sent from my iPhone</t>
        </is>
      </c>
      <c r="E370" s="4" t="inlineStr">
        <is>
          <t>56665654</t>
        </is>
      </c>
      <c r="F370" s="2" t="inlineStr">
        <is>
          <t>يبيع جلب جيرمن</t>
        </is>
      </c>
      <c r="G370" s="4" t="inlineStr">
        <is>
          <t>56665654</t>
        </is>
      </c>
    </row>
    <row r="371" ht="18" customHeight="1">
      <c r="A371" s="5" t="inlineStr">
        <is>
          <t>abdullah elhmade &lt;abdullah7elhmade@gmail.com&gt;</t>
        </is>
      </c>
      <c r="B371" s="6" t="inlineStr">
        <is>
          <t>abdullah7elhmade@gmail.com</t>
        </is>
      </c>
      <c r="C371" s="5">
        <f>?utf-8?B?2KfYs9in2KHYqSDZhNmE2KfYs9mF?=</f>
        <v/>
      </c>
      <c r="D371" s="5" t="inlineStr">
        <is>
          <t>Hello! How can we help you?  Report ال مالي : 56665654   Sent from my iPhone</t>
        </is>
      </c>
      <c r="E371" s="7" t="inlineStr">
        <is>
          <t>56665654</t>
        </is>
      </c>
      <c r="F371" s="5" t="inlineStr">
        <is>
          <t>ال مالي</t>
        </is>
      </c>
      <c r="G371" s="7" t="inlineStr">
        <is>
          <t>56665654</t>
        </is>
      </c>
    </row>
    <row r="372" ht="18" customHeight="1">
      <c r="A372" s="2">
        <f>?utf-8?B?MjAxMSDYp9mE2LTYt9mK?= &lt;qads2002@hotmail.com&gt;</f>
        <v/>
      </c>
      <c r="B372" s="3" t="inlineStr">
        <is>
          <t>qads2002@hotmail.com</t>
        </is>
      </c>
      <c r="C372" s="2">
        <f>?utf-8?B?2KfZhNin2LPYp9ih2Kkg2YTZiiDYtNiu2LXZitinINmF2YYg2YLYqNmEINmH?=  =?utf-8?B?2LDYpyDYp9mE2LHZgtmF?=</f>
        <v/>
      </c>
      <c r="D372" s="2" t="inlineStr">
        <is>
          <t xml:space="preserve">Hello! How can we help you?  Report زوج نوده : 95559936  ‫أُرسلت من الـ iPhone‬ </t>
        </is>
      </c>
      <c r="E372" s="4" t="inlineStr">
        <is>
          <t>95559936</t>
        </is>
      </c>
      <c r="F372" s="2" t="inlineStr">
        <is>
          <t>زوج نوده</t>
        </is>
      </c>
      <c r="G372" s="4" t="inlineStr">
        <is>
          <t>95559936</t>
        </is>
      </c>
    </row>
    <row r="373" ht="18" customHeight="1">
      <c r="A373" s="5" t="inlineStr">
        <is>
          <t>ssak kwait &lt;ssakq8@gmail.com&gt;</t>
        </is>
      </c>
      <c r="B373" s="6" t="inlineStr">
        <is>
          <t>ssakq8@gmail.com</t>
        </is>
      </c>
      <c r="C373" s="5">
        <f>?utf-8?B?2KfZhNi62KfYoSDYp9mE2KfYs9mFIA==?=</f>
        <v/>
      </c>
      <c r="D373" s="5" t="inlineStr">
        <is>
          <t xml:space="preserve">Hello! How can we help you?  Report سماعه امتيحانات- : 55853555   سلمان صالح خلف سلامه   </t>
        </is>
      </c>
      <c r="E373" s="7" t="inlineStr">
        <is>
          <t>55853555</t>
        </is>
      </c>
      <c r="F373" s="5" t="inlineStr">
        <is>
          <t>سماعه امتيحانات-</t>
        </is>
      </c>
      <c r="G373" s="7" t="inlineStr">
        <is>
          <t>55853555</t>
        </is>
      </c>
    </row>
    <row r="374" ht="18" customHeight="1">
      <c r="A374" s="2" t="inlineStr">
        <is>
          <t>N Alotaibi &lt;lbnmra3i@gmail.com&gt;</t>
        </is>
      </c>
      <c r="B374" s="3" t="inlineStr">
        <is>
          <t>lbnmra3i@gmail.com</t>
        </is>
      </c>
      <c r="C374" s="2">
        <f>?utf-8?B?2KfZhNin2LPZhSDYutmK2LEg2YTYp9im2YI=?=</f>
        <v/>
      </c>
      <c r="D374" s="2" t="inlineStr">
        <is>
          <t>Hello! How can we help you?  Report Fas3ooni N9ooryy : 94496666   Sent from my iPhone</t>
        </is>
      </c>
      <c r="E374" s="4" t="inlineStr">
        <is>
          <t>94496666</t>
        </is>
      </c>
      <c r="F374" s="2" t="inlineStr">
        <is>
          <t>Fas3ooni N9ooryy</t>
        </is>
      </c>
      <c r="G374" s="4" t="inlineStr">
        <is>
          <t>94496666</t>
        </is>
      </c>
    </row>
    <row r="375" ht="18" customHeight="1">
      <c r="A375" s="5" t="inlineStr">
        <is>
          <t>saleh sami &lt;salehsami909@gmail.com&gt;</t>
        </is>
      </c>
      <c r="B375" s="6" t="inlineStr">
        <is>
          <t>salehsami909@gmail.com</t>
        </is>
      </c>
      <c r="C375" s="5" t="inlineStr"/>
      <c r="D375" s="5" t="inlineStr">
        <is>
          <t>Hello! How can we help you?  Report عاها على المجتمع. : 90971413   Sent from my iPhone</t>
        </is>
      </c>
      <c r="E375" s="7" t="inlineStr">
        <is>
          <t>90971413</t>
        </is>
      </c>
      <c r="F375" s="5" t="inlineStr">
        <is>
          <t>عاها على المجتمع.</t>
        </is>
      </c>
      <c r="G375" s="7" t="inlineStr">
        <is>
          <t>90971413</t>
        </is>
      </c>
    </row>
    <row r="376" ht="18" customHeight="1">
      <c r="A376" s="2" t="inlineStr">
        <is>
          <t>Abdullah Aldehani &lt;abdullahaldehani69@gmail.com&gt;</t>
        </is>
      </c>
      <c r="B376" s="3" t="inlineStr">
        <is>
          <t>abdullahaldehani69@gmail.com</t>
        </is>
      </c>
      <c r="C376" s="2">
        <f>?utf-8?B?2KfYs9mFINmE2Kcg2KfYsdmK2K/ZhyDYp9iq2YXZhtmJINmF2LM=?=  =?utf-8?B?2K3Zhw==?=</f>
        <v/>
      </c>
      <c r="D376" s="2" t="inlineStr">
        <is>
          <t>Hello! How can we help you?  Report أختي أم غلا- : 99255672   ‫أُرسلت من الـ iPhone‬</t>
        </is>
      </c>
      <c r="E376" s="4" t="inlineStr">
        <is>
          <t>99255672</t>
        </is>
      </c>
      <c r="F376" s="2" t="inlineStr">
        <is>
          <t>أختي أم غلا-</t>
        </is>
      </c>
      <c r="G376" s="4" t="inlineStr">
        <is>
          <t>99255672</t>
        </is>
      </c>
    </row>
    <row r="377" ht="18" customHeight="1">
      <c r="A377" s="5" t="inlineStr">
        <is>
          <t>Abdullah Aldehani &lt;abdullahaldehani69@gmail.com&gt;</t>
        </is>
      </c>
      <c r="B377" s="6" t="inlineStr">
        <is>
          <t>abdullahaldehani69@gmail.com</t>
        </is>
      </c>
      <c r="C377" s="5">
        <f>?utf-8?B?2KfYs9mFINmE2Kcg2KfYsdmK2K/Zhw==?=</f>
        <v/>
      </c>
      <c r="D377" s="5" t="inlineStr">
        <is>
          <t>Hello! How can we help you?  Report ام. شوق. مدرسه النهضه- : 99255672   ‫أُرسلت من الـ iPhone‬</t>
        </is>
      </c>
      <c r="E377" s="7" t="inlineStr">
        <is>
          <t>99255672</t>
        </is>
      </c>
      <c r="F377" s="5" t="inlineStr">
        <is>
          <t>ام. شوق. مدرسه النهضه-</t>
        </is>
      </c>
      <c r="G377" s="7" t="inlineStr">
        <is>
          <t>99255672</t>
        </is>
      </c>
    </row>
    <row r="378" ht="18" customHeight="1">
      <c r="A378" s="2" t="inlineStr">
        <is>
          <t>Shwagah Nzgah &lt;shwagah_95@icloud.com&gt;</t>
        </is>
      </c>
      <c r="B378" s="3" t="inlineStr">
        <is>
          <t>shwagah_95@icloud.com</t>
        </is>
      </c>
      <c r="C378" s="2" t="inlineStr"/>
      <c r="D378" s="2" t="inlineStr">
        <is>
          <t>Hello! How can we help you?  Report عبد الرحمن : 56666409   Sent from my iPhone</t>
        </is>
      </c>
      <c r="E378" s="4" t="inlineStr">
        <is>
          <t>56666409</t>
        </is>
      </c>
      <c r="F378" s="2" t="inlineStr">
        <is>
          <t>عبد الرحمن</t>
        </is>
      </c>
      <c r="G378" s="4" t="inlineStr">
        <is>
          <t>56666409</t>
        </is>
      </c>
    </row>
    <row r="379" ht="18" customHeight="1">
      <c r="A379" s="5">
        <f>?utf-8?B?2YXYrdmF2K8g2YfYp9iv2Yo=?= &lt;q860606602@gmail.com&gt;</f>
        <v/>
      </c>
      <c r="B379" s="6" t="inlineStr">
        <is>
          <t>q860606602@gmail.com</t>
        </is>
      </c>
      <c r="C379" s="5" t="inlineStr"/>
      <c r="D379" s="5" t="inlineStr">
        <is>
          <t>Hello! How can we help you?    هذا اسم غلط  ليس اسمي  Report محمد هادي بن بغمه- : 60606602   ‫أُرسلت من الـ iPhone‬</t>
        </is>
      </c>
      <c r="E379" s="7" t="inlineStr">
        <is>
          <t>60606602</t>
        </is>
      </c>
      <c r="F379" s="5" t="inlineStr">
        <is>
          <t>محمد هادي بن بغمه-</t>
        </is>
      </c>
      <c r="G379" s="7" t="inlineStr">
        <is>
          <t>60606602</t>
        </is>
      </c>
    </row>
    <row r="380" ht="18" customHeight="1">
      <c r="A380" s="2" t="inlineStr">
        <is>
          <t>aseel alkanan &lt;aseel899@outlook.com&gt;</t>
        </is>
      </c>
      <c r="B380" s="3" t="inlineStr">
        <is>
          <t>aseel899@outlook.com</t>
        </is>
      </c>
      <c r="C380" s="2">
        <f>?utf-8?B?2KfZhNin2LPZhSDYutmK2LEg2YTYp9im2YI=?=</f>
        <v/>
      </c>
      <c r="D380" s="2" t="inlineStr">
        <is>
          <t xml:space="preserve">Hello! How can we help you?  Report احمد الكنعان 2 : 99980842   ‫أُرسلت من الـ iPhone‬ </t>
        </is>
      </c>
      <c r="E380" s="4" t="inlineStr">
        <is>
          <t>99980842</t>
        </is>
      </c>
      <c r="F380" s="2" t="inlineStr">
        <is>
          <t>احمد الكنعان 2</t>
        </is>
      </c>
      <c r="G380" s="4" t="inlineStr">
        <is>
          <t>99980842</t>
        </is>
      </c>
    </row>
    <row r="381" ht="18" customHeight="1">
      <c r="A381" s="5" t="inlineStr">
        <is>
          <t>aseel alkanan &lt;aseel899@outlook.com&gt;</t>
        </is>
      </c>
      <c r="B381" s="6" t="inlineStr">
        <is>
          <t>aseel899@outlook.com</t>
        </is>
      </c>
      <c r="C381" s="5">
        <f>?utf-8?B?2YPYqtin2KjZhyDYudmG2YjYp9mGINio2YrYqtmKINmK2YfYr9ivINit2Yo=?=  =?utf-8?B?2KfYqtmK?=</f>
        <v/>
      </c>
      <c r="D381" s="5" t="inlineStr">
        <is>
          <t xml:space="preserve">Hello! How can we help you?  Report القادسية ق8ش80م12 : 99980842   ‫أُرسلت من الـ iPhone‬ </t>
        </is>
      </c>
      <c r="E381" s="7" t="inlineStr">
        <is>
          <t>99980842</t>
        </is>
      </c>
      <c r="F381" s="5" t="inlineStr">
        <is>
          <t>القادسية ق8ش80م12</t>
        </is>
      </c>
      <c r="G381" s="7" t="inlineStr">
        <is>
          <t>99980842</t>
        </is>
      </c>
    </row>
    <row r="382" ht="18" customHeight="1">
      <c r="A382" s="2" t="inlineStr">
        <is>
          <t>Azoz Matep &lt;azozmatep57@gmail.com&gt;</t>
        </is>
      </c>
      <c r="B382" s="3" t="inlineStr">
        <is>
          <t>azozmatep57@gmail.com</t>
        </is>
      </c>
      <c r="C382" s="2">
        <f>?utf-8?B?2YfYsNinINmE2YrYsyDYp9iz2YXZig==?=</f>
        <v/>
      </c>
      <c r="D382" s="2" t="inlineStr">
        <is>
          <t>Hello! How can we help you?  Report بش بش جديد : 91111562   ‫أُرسلت من الـ iPhone‬</t>
        </is>
      </c>
      <c r="E382" s="4" t="inlineStr">
        <is>
          <t>91111562</t>
        </is>
      </c>
      <c r="F382" s="2" t="inlineStr">
        <is>
          <t>بش بش جديد</t>
        </is>
      </c>
      <c r="G382" s="4" t="inlineStr">
        <is>
          <t>91111562</t>
        </is>
      </c>
    </row>
    <row r="383" ht="18" customHeight="1">
      <c r="A383" s="5" t="inlineStr">
        <is>
          <t>Sulaiman Alahmad &lt;alahmad87@icloud.com&gt;</t>
        </is>
      </c>
      <c r="B383" s="6" t="inlineStr">
        <is>
          <t>alahmad87@icloud.com</t>
        </is>
      </c>
      <c r="C383" s="5" t="inlineStr"/>
      <c r="D383" s="5" t="inlineStr">
        <is>
          <t xml:space="preserve">Hello! How can we help you?  Report محمد الخالدي مبارك شطاف : 99966585  الرجاء إلغاء هذا الاسم  مع جزيل الشكر   </t>
        </is>
      </c>
      <c r="E383" s="7" t="inlineStr">
        <is>
          <t>99966585</t>
        </is>
      </c>
      <c r="F383" s="5" t="inlineStr">
        <is>
          <t>محمد الخالدي مبارك شطاف</t>
        </is>
      </c>
      <c r="G383" s="7" t="inlineStr">
        <is>
          <t>99966585</t>
        </is>
      </c>
    </row>
    <row r="384" ht="18" customHeight="1">
      <c r="A384" s="2" t="inlineStr">
        <is>
          <t>Ali Alfaraj &lt;ali.alfaraj58@gmail.com&gt;</t>
        </is>
      </c>
      <c r="B384" s="3" t="inlineStr">
        <is>
          <t>ali.alfaraj58@gmail.com</t>
        </is>
      </c>
      <c r="C384" s="2">
        <f>?utf-8?B?2KfYstin2YTYqSDYp9iz2YU=?=</f>
        <v/>
      </c>
      <c r="D384" s="2" t="inlineStr">
        <is>
          <t>Hello! How can we help you?  Report حساب شيطون : 50559147  ‏الرجاء إزالة هذا المسمى لانه ‏ ‏يأتي بكثير من ‏سوء الفهم Sent from my iPhone</t>
        </is>
      </c>
      <c r="E384" s="4" t="inlineStr">
        <is>
          <t>50559147</t>
        </is>
      </c>
      <c r="F384" s="2" t="inlineStr">
        <is>
          <t>حساب شيطون</t>
        </is>
      </c>
      <c r="G384" s="4" t="inlineStr">
        <is>
          <t>50559147</t>
        </is>
      </c>
    </row>
    <row r="385" ht="18" customHeight="1">
      <c r="A385" s="5" t="inlineStr">
        <is>
          <t>Dalal Almazyad &lt;dalmazyad@icloud.com&gt;</t>
        </is>
      </c>
      <c r="B385" s="6" t="inlineStr">
        <is>
          <t>dalmazyad@icloud.com</t>
        </is>
      </c>
      <c r="C385" s="5" t="inlineStr">
        <is>
          <t>Hello , kindly delete this because this title does not suit me.. thank you</t>
        </is>
      </c>
      <c r="D385" s="5" t="inlineStr">
        <is>
          <t>Hello! How can we help you?  Report دلال الشغاله : 50000205   Sent from my iPhone</t>
        </is>
      </c>
      <c r="E385" s="7" t="inlineStr">
        <is>
          <t>50000205</t>
        </is>
      </c>
      <c r="F385" s="5" t="inlineStr">
        <is>
          <t>دلال الشغاله</t>
        </is>
      </c>
      <c r="G385" s="7" t="inlineStr">
        <is>
          <t>50000205</t>
        </is>
      </c>
    </row>
    <row r="386" ht="18" customHeight="1">
      <c r="A386" s="2" t="inlineStr">
        <is>
          <t>azeezalb22@icloud.com</t>
        </is>
      </c>
      <c r="B386" s="3" t="inlineStr">
        <is>
          <t>azeezalb22@icloud.com</t>
        </is>
      </c>
      <c r="C386" s="2" t="inlineStr"/>
      <c r="D386" s="2" t="inlineStr">
        <is>
          <t>Hello! How can we help you?  Report John Cena : 96655154   Sent from my iPhone</t>
        </is>
      </c>
      <c r="E386" s="4" t="inlineStr">
        <is>
          <t>96655154</t>
        </is>
      </c>
      <c r="F386" s="2" t="inlineStr">
        <is>
          <t>John Cena</t>
        </is>
      </c>
      <c r="G386" s="4" t="inlineStr">
        <is>
          <t>96655154</t>
        </is>
      </c>
    </row>
    <row r="387" ht="18" customHeight="1">
      <c r="A387" s="5" t="inlineStr">
        <is>
          <t>Nona Alenzi &lt;nonaalenzi0@gmail.com&gt;</t>
        </is>
      </c>
      <c r="B387" s="6" t="inlineStr">
        <is>
          <t>nonaalenzi0@gmail.com</t>
        </is>
      </c>
      <c r="C387" s="5" t="inlineStr">
        <is>
          <t xml:space="preserve">not appropriate </t>
        </is>
      </c>
      <c r="D387" s="5" t="inlineStr">
        <is>
          <t>Hello! How can we help you?  Report غزل نور اللي ماتستحي صوتها عالي تلبس نظاره ه : 94405057   Sent from my iPhone</t>
        </is>
      </c>
      <c r="E387" s="7" t="inlineStr">
        <is>
          <t>94405057</t>
        </is>
      </c>
      <c r="F387" s="5" t="inlineStr">
        <is>
          <t>غزل نور اللي ماتستحي صوتها عالي تلبس نظاره ه</t>
        </is>
      </c>
      <c r="G387" s="7" t="inlineStr">
        <is>
          <t>94405057</t>
        </is>
      </c>
    </row>
    <row r="388" ht="18" customHeight="1">
      <c r="A388" s="2" t="inlineStr">
        <is>
          <t>Nona Alenzi &lt;nonaalenzi0@gmail.com&gt;</t>
        </is>
      </c>
      <c r="B388" s="3" t="inlineStr">
        <is>
          <t>nonaalenzi0@gmail.com</t>
        </is>
      </c>
      <c r="C388" s="2" t="inlineStr">
        <is>
          <t xml:space="preserve">not good name </t>
        </is>
      </c>
      <c r="D388" s="2" t="inlineStr">
        <is>
          <t>Hello! How can we help you?  Report غزل نور اللي ماتستحي صوتها عالي تلبس نظاره ه : 94405057   Sent from my iPhone</t>
        </is>
      </c>
      <c r="E388" s="4" t="inlineStr">
        <is>
          <t>94405057</t>
        </is>
      </c>
      <c r="F388" s="2" t="inlineStr">
        <is>
          <t>غزل نور اللي ماتستحي صوتها عالي تلبس نظاره ه</t>
        </is>
      </c>
      <c r="G388" s="4" t="inlineStr">
        <is>
          <t>94405057</t>
        </is>
      </c>
    </row>
    <row r="389" ht="18" customHeight="1">
      <c r="A389" s="5" t="inlineStr">
        <is>
          <t>Nona Alenzi &lt;nonaalenzi0@gmail.com&gt;</t>
        </is>
      </c>
      <c r="B389" s="6" t="inlineStr">
        <is>
          <t>nonaalenzi0@gmail.com</t>
        </is>
      </c>
      <c r="C389" s="5" t="inlineStr"/>
      <c r="D389" s="5" t="inlineStr">
        <is>
          <t>Hello! How can we help you?  Report غزل نور اللي ماتستحي صوتها عالي تلبس نظاره ه : 94405057   Sent from my iPhone</t>
        </is>
      </c>
      <c r="E389" s="7" t="inlineStr">
        <is>
          <t>94405057</t>
        </is>
      </c>
      <c r="F389" s="5" t="inlineStr">
        <is>
          <t>غزل نور اللي ماتستحي صوتها عالي تلبس نظاره ه</t>
        </is>
      </c>
      <c r="G389" s="7" t="inlineStr">
        <is>
          <t>94405057</t>
        </is>
      </c>
    </row>
    <row r="390" ht="18" customHeight="1">
      <c r="A390" s="2" t="inlineStr">
        <is>
          <t>Salem Nawaf &lt;salemnawaf@icloud.com&gt;</t>
        </is>
      </c>
      <c r="B390" s="3" t="inlineStr">
        <is>
          <t>salemnawaf@icloud.com</t>
        </is>
      </c>
      <c r="C390" s="2">
        <f>?utf-8?B?2YfYsNinINin2YTYp9iz2YUg2YrYq9mK2LEg2YjYutmK2LEg2LU=?=  =?utf-8?B?2K3ZititINmI2YrZiNis2K8g2YHZiiDYp9mE2LPYqCDZiNin2YQ=?=  =?utf-8?B?2YLYsNmB?=</f>
        <v/>
      </c>
      <c r="D390" s="2" t="inlineStr">
        <is>
          <t>Hello! How can we help you?  Report Soso : 51554706   ‫أُرسلت من الـ iPhone‬</t>
        </is>
      </c>
      <c r="E390" s="4" t="inlineStr">
        <is>
          <t>51554706</t>
        </is>
      </c>
      <c r="F390" s="2" t="inlineStr">
        <is>
          <t>Soso</t>
        </is>
      </c>
      <c r="G390" s="4" t="inlineStr">
        <is>
          <t>51554706</t>
        </is>
      </c>
    </row>
    <row r="391" ht="18" customHeight="1">
      <c r="A391" s="5" t="inlineStr">
        <is>
          <t>maali alshrifi &lt;maalialshrifi@yahoo.com&gt;</t>
        </is>
      </c>
      <c r="B391" s="6" t="inlineStr">
        <is>
          <t>maalialshrifi@yahoo.com</t>
        </is>
      </c>
      <c r="C391" s="5" t="inlineStr">
        <is>
          <t xml:space="preserve">Re: </t>
        </is>
      </c>
      <c r="D391" s="5" t="inlineStr">
        <is>
          <t xml:space="preserve"> Sent from my iPhone  &gt; On 10 Oct 2025, at 23:36, maali alshrifi &lt;maalialshrifi@yahoo.com&gt; wrote: &gt;  &gt; ﻿ &gt; Hello! How can we help you? &gt;  &gt; Report ز ام ضاري العارضيه ق4 ش2 م8 : 66176361 &gt;  &gt;  &gt; Sent from my iPhone &gt;  &gt; الرجاء حذف العنوان للخصوصيه  </t>
        </is>
      </c>
      <c r="E391" s="7" t="inlineStr">
        <is>
          <t>66176361</t>
        </is>
      </c>
      <c r="F391" s="5" t="inlineStr">
        <is>
          <t>ز ام ضاري العارضيه ق4 ش2 م8</t>
        </is>
      </c>
      <c r="G391" s="7" t="inlineStr">
        <is>
          <t>66176361</t>
        </is>
      </c>
    </row>
    <row r="392" ht="18" customHeight="1">
      <c r="A392" s="2" t="inlineStr">
        <is>
          <t>"abood.alhrbi i" &lt;3boodq85550@gmail.com&gt;</t>
        </is>
      </c>
      <c r="B392" s="3" t="inlineStr">
        <is>
          <t>3boodq85550@gmail.com</t>
        </is>
      </c>
      <c r="C392" s="2">
        <f>?utf-8?B?2KfYs9in2KHZhw==?=</f>
        <v/>
      </c>
      <c r="D392" s="2" t="inlineStr">
        <is>
          <t>Hello! How can we help you?  Report حمير : 51756156   ‫أُرسلت من الـ</t>
        </is>
      </c>
      <c r="E392" s="4" t="inlineStr">
        <is>
          <t>51756156</t>
        </is>
      </c>
      <c r="F392" s="2" t="inlineStr">
        <is>
          <t>حمير</t>
        </is>
      </c>
      <c r="G392" s="4" t="inlineStr">
        <is>
          <t>51756156</t>
        </is>
      </c>
    </row>
    <row r="393" ht="18" customHeight="1">
      <c r="A393" s="5" t="inlineStr">
        <is>
          <t>Asmaa Kw &lt;asmaa2488@gmail.com&gt;</t>
        </is>
      </c>
      <c r="B393" s="6" t="inlineStr">
        <is>
          <t>asmaa2488@gmail.com</t>
        </is>
      </c>
      <c r="C393" s="5" t="inlineStr">
        <is>
          <t>Report</t>
        </is>
      </c>
      <c r="D393" s="5" t="inlineStr">
        <is>
          <t>Hello! How can we help you?  Report ابوسعود : 50115088   Sent from my iPhone</t>
        </is>
      </c>
      <c r="E393" s="7" t="inlineStr">
        <is>
          <t>50115088</t>
        </is>
      </c>
      <c r="F393" s="5" t="inlineStr">
        <is>
          <t>ابوسعود</t>
        </is>
      </c>
      <c r="G393" s="7" t="inlineStr">
        <is>
          <t>50115088</t>
        </is>
      </c>
    </row>
    <row r="394" ht="18" customHeight="1">
      <c r="A394" s="2" t="inlineStr">
        <is>
          <t>salem alajmi &lt;salemm_skehdob@icloud.com&gt;</t>
        </is>
      </c>
      <c r="B394" s="3" t="inlineStr">
        <is>
          <t>salemm_skehdob@icloud.com</t>
        </is>
      </c>
      <c r="C394" s="2">
        <f>?utf-8?B?2KfYs9mFINiu2LfYpg==?=</f>
        <v/>
      </c>
      <c r="D394" s="2" t="inlineStr">
        <is>
          <t>Hello! How can we help you?  Report ام عامر مبارك الكبير ق 4 ش 38 م 4 : 51616989   ‫أُرسلت من الـ iPhone‬</t>
        </is>
      </c>
      <c r="E394" s="4" t="inlineStr">
        <is>
          <t>51616989</t>
        </is>
      </c>
      <c r="F394" s="2" t="inlineStr">
        <is>
          <t>ام عامر مبارك الكبير ق 4 ش 38 م 4</t>
        </is>
      </c>
      <c r="G394" s="4" t="inlineStr">
        <is>
          <t>51616989</t>
        </is>
      </c>
    </row>
    <row r="395" ht="18" customHeight="1">
      <c r="A395" s="5" t="inlineStr">
        <is>
          <t>kuw1255@icloud.com</t>
        </is>
      </c>
      <c r="B395" s="6" t="inlineStr">
        <is>
          <t>kuw1255@icloud.com</t>
        </is>
      </c>
      <c r="C395" s="5">
        <f>?utf-8?B?2KrYqNmE2YrYuiDYudmGINin2LPZhSDYrNmG2YrYqiDZh9mI2YU=?=  =?utf-8?B?2LE=?=</f>
        <v/>
      </c>
      <c r="D395" s="5" t="inlineStr">
        <is>
          <t>Hello! How can we help you?  Report جنيت-هومر : 66799131   ‫أُرسلت من الـ iPhone‬</t>
        </is>
      </c>
      <c r="E395" s="7" t="inlineStr">
        <is>
          <t>66799131</t>
        </is>
      </c>
      <c r="F395" s="5" t="inlineStr">
        <is>
          <t>جنيت-هومر</t>
        </is>
      </c>
      <c r="G395" s="7" t="inlineStr">
        <is>
          <t>66799131</t>
        </is>
      </c>
    </row>
    <row r="396" ht="18" customHeight="1">
      <c r="A396" s="2" t="inlineStr">
        <is>
          <t>Maali Maali &lt;historeyya@hotmail.com&gt;</t>
        </is>
      </c>
      <c r="B396" s="3" t="inlineStr">
        <is>
          <t>historeyya@hotmail.com</t>
        </is>
      </c>
      <c r="C396" s="2">
        <f>?utf-8?B?2LnZhtmI2KfZhiDYp9mE2YXZhtiy2YQg2YPYp9mF2YQgISEhIQ==?=</f>
        <v/>
      </c>
      <c r="D396" s="2" t="inlineStr">
        <is>
          <t xml:space="preserve">Hello! How can we help you?  Report ضاحية عبدالله المبارك (غرب الجليب) قطعة 9 شارع-منز : 99446106  ‫أُرسلت من الـ iPhone‬ </t>
        </is>
      </c>
      <c r="E396" s="4" t="inlineStr">
        <is>
          <t>99446106</t>
        </is>
      </c>
      <c r="F396" s="2" t="inlineStr">
        <is>
          <t>ضاحية عبدالله المبارك (غرب الجليب) قطعة 9 شارع-منز</t>
        </is>
      </c>
      <c r="G396" s="4" t="inlineStr">
        <is>
          <t>99446106</t>
        </is>
      </c>
    </row>
    <row r="397" ht="18" customHeight="1">
      <c r="A397" s="5" t="inlineStr">
        <is>
          <t>noura77_q8@icloud.com</t>
        </is>
      </c>
      <c r="B397" s="6" t="inlineStr">
        <is>
          <t>noura77_q8@icloud.com</t>
        </is>
      </c>
      <c r="C397" s="5">
        <f>?utf-8?B?2KjZhNin2LrYp9iqINmF2LLYudis2Kk=?=</f>
        <v/>
      </c>
      <c r="D397" s="5" t="inlineStr">
        <is>
          <t>Hello! How can we help you?  Report Raju Pentar : 65187297   ‫أُرسلت من الـ iPhone‬</t>
        </is>
      </c>
      <c r="E397" s="7" t="inlineStr">
        <is>
          <t>65187297</t>
        </is>
      </c>
      <c r="F397" s="5" t="inlineStr">
        <is>
          <t>Raju Pentar</t>
        </is>
      </c>
      <c r="G397" s="7" t="inlineStr">
        <is>
          <t>65187297</t>
        </is>
      </c>
    </row>
    <row r="398" ht="18" customHeight="1">
      <c r="A398" s="2" t="inlineStr">
        <is>
          <t>al7ja almahde &lt;almahdeag_q8@hotmail.com&gt;</t>
        </is>
      </c>
      <c r="B398" s="3" t="inlineStr">
        <is>
          <t>almahdeag_q8@hotmail.com</t>
        </is>
      </c>
      <c r="C398" s="2">
        <f>?utf-8?B?2KfYsdis2YjYpyDYp9iu2YHYp9ihINmH2LDYpyDYp9mE2KfYs9mFINmF2YYg?=  =?utf-8?B?2LPYrNmEINin2YTYp9ix2YLYp9mF?=</f>
        <v/>
      </c>
      <c r="D398" s="2" t="inlineStr">
        <is>
          <t xml:space="preserve">Hello! How can we help you?  Report تبرع 42 260 : 99424652  ‫أُرسلت من الـ iPhone‬ </t>
        </is>
      </c>
      <c r="E398" s="4" t="inlineStr">
        <is>
          <t>99424652</t>
        </is>
      </c>
      <c r="F398" s="2" t="inlineStr">
        <is>
          <t>تبرع 42 260</t>
        </is>
      </c>
      <c r="G398" s="4" t="inlineStr">
        <is>
          <t>99424652</t>
        </is>
      </c>
    </row>
    <row r="399" ht="18" customHeight="1">
      <c r="A399" s="5">
        <f>?utf-8?B?2KjZiCDYs9i52YjYryDYp9mE2K3ZhdmK2K/Zig==?= 	&lt;mazahem@outlook.com&gt;</f>
        <v/>
      </c>
      <c r="B399" s="6" t="inlineStr">
        <is>
          <t>mazahem@outlook.com</t>
        </is>
      </c>
      <c r="C399" s="5">
        <f>?utf-8?B?2YXYsdit2KjYpyA=?=</f>
        <v/>
      </c>
      <c r="D399" s="5" t="inlineStr">
        <is>
          <t xml:space="preserve">مرحبا انا عملت بلوك لرقمي هذا لماذا تم رفع البلوك عنه  Report مزاحم الرميج- : 66464665  ‫أُرسلت من الـ iPhone‬ </t>
        </is>
      </c>
      <c r="E399" s="7" t="inlineStr">
        <is>
          <t>66464665</t>
        </is>
      </c>
      <c r="F399" s="5" t="inlineStr">
        <is>
          <t>مزاحم الرميج-</t>
        </is>
      </c>
      <c r="G399" s="7" t="inlineStr">
        <is>
          <t>66464665</t>
        </is>
      </c>
    </row>
    <row r="400" ht="18" customHeight="1">
      <c r="A400" s="2" t="inlineStr">
        <is>
          <t>suha boresli &lt;suha89boresli@hotmail.com&gt;</t>
        </is>
      </c>
      <c r="B400" s="3" t="inlineStr">
        <is>
          <t>suha89boresli@hotmail.com</t>
        </is>
      </c>
      <c r="C400" s="2">
        <f>?utf-8?B?2YbYtNixINio2YrYp9mG2KfYqiDYrtin2LXZhw==?=</f>
        <v/>
      </c>
      <c r="D400" s="2" t="inlineStr">
        <is>
          <t xml:space="preserve">Hello! How can we help you?  Report الشهداء قطعه 5 : 97770785  ‫أُرسلت من الـ iPhone‬ </t>
        </is>
      </c>
      <c r="E400" s="4" t="inlineStr">
        <is>
          <t>97770785</t>
        </is>
      </c>
      <c r="F400" s="2" t="inlineStr">
        <is>
          <t>الشهداء قطعه 5</t>
        </is>
      </c>
      <c r="G400" s="4" t="inlineStr">
        <is>
          <t>97770785</t>
        </is>
      </c>
    </row>
    <row r="401" ht="18" customHeight="1">
      <c r="A401" s="5" t="inlineStr">
        <is>
          <t>suha boresli &lt;suha89boresli@hotmail.com&gt;</t>
        </is>
      </c>
      <c r="B401" s="6" t="inlineStr">
        <is>
          <t>suha89boresli@hotmail.com</t>
        </is>
      </c>
      <c r="C401" s="5">
        <f>?utf-8?B?2KfZhtiq2YfYp9mDINiu2LXZiNi12YrZhw==?=</f>
        <v/>
      </c>
      <c r="D401" s="5" t="inlineStr">
        <is>
          <t xml:space="preserve">Hello! How can we help you?  Report سهى زوجة ولدي : 97770785  ‫أُرسلت من الـ iPhone‬ </t>
        </is>
      </c>
      <c r="E401" s="7" t="inlineStr">
        <is>
          <t>97770785</t>
        </is>
      </c>
      <c r="F401" s="5" t="inlineStr">
        <is>
          <t>سهى زوجة ولدي</t>
        </is>
      </c>
      <c r="G401" s="7" t="inlineStr">
        <is>
          <t>97770785</t>
        </is>
      </c>
    </row>
    <row r="402" ht="18" customHeight="1">
      <c r="A402" s="2" t="inlineStr">
        <is>
          <t>suha boresli &lt;suha89boresli@hotmail.com&gt;</t>
        </is>
      </c>
      <c r="B402" s="3" t="inlineStr">
        <is>
          <t>suha89boresli@hotmail.com</t>
        </is>
      </c>
      <c r="C402" s="2">
        <f>?utf-8?B?2KfZhtiq2YfYp9mDINiu2LXZiNi12YrZhw==?=</f>
        <v/>
      </c>
      <c r="D402" s="2" t="inlineStr">
        <is>
          <t xml:space="preserve">Hello! How can we help you?  Report سهى زوجة ولدي دعيج : 97770785  ‫أُرسلت من الـ iPhone‬ </t>
        </is>
      </c>
      <c r="E402" s="4" t="inlineStr">
        <is>
          <t>97770785</t>
        </is>
      </c>
      <c r="F402" s="2" t="inlineStr">
        <is>
          <t>سهى زوجة ولدي دعيج</t>
        </is>
      </c>
      <c r="G402" s="4" t="inlineStr">
        <is>
          <t>97770785</t>
        </is>
      </c>
    </row>
    <row r="403" ht="18" customHeight="1">
      <c r="A403" s="5" t="inlineStr">
        <is>
          <t>Dhdnx Xb &lt;kuw5899@gmail.com&gt;</t>
        </is>
      </c>
      <c r="B403" s="6" t="inlineStr">
        <is>
          <t>kuw5899@gmail.com</t>
        </is>
      </c>
      <c r="C403" s="5">
        <f>?utf-8?B?2LnZhtmI2KfZhtmK?=</f>
        <v/>
      </c>
      <c r="D403" s="5" t="inlineStr">
        <is>
          <t>Hello! How can we help you?  Report سعد العبد الله ق 3 ش 322 م 192 : 55995018   Sent from my iPhone</t>
        </is>
      </c>
      <c r="E403" s="7" t="inlineStr">
        <is>
          <t>55995018</t>
        </is>
      </c>
      <c r="F403" s="5" t="inlineStr">
        <is>
          <t>سعد العبد الله ق 3 ش 322 م 192</t>
        </is>
      </c>
      <c r="G403" s="7" t="inlineStr">
        <is>
          <t>55995018</t>
        </is>
      </c>
    </row>
    <row r="404" ht="18" customHeight="1">
      <c r="A404" s="2">
        <f>?utf-8?B?2YLZhtin2Kkg2YXYstin2Kw=?= &lt;fahadalkhanfor@gmail.com&gt;</f>
        <v/>
      </c>
      <c r="B404" s="3" t="inlineStr">
        <is>
          <t>fahadalkhanfor@gmail.com</t>
        </is>
      </c>
      <c r="C404" s="2">
        <f>?utf-8?B?2KfZhNin2LPZhSDYrti32KM=?=</f>
        <v/>
      </c>
      <c r="D404" s="2" t="inlineStr">
        <is>
          <t xml:space="preserve">Hello! How can we help you?  Report فهد خالد الخنفور2- : 60444905    الاسم خطأ  </t>
        </is>
      </c>
      <c r="E404" s="4" t="inlineStr">
        <is>
          <t>60444905</t>
        </is>
      </c>
      <c r="F404" s="2" t="inlineStr">
        <is>
          <t>فهد خالد الخنفور2-</t>
        </is>
      </c>
      <c r="G404" s="4" t="inlineStr">
        <is>
          <t>60444905</t>
        </is>
      </c>
    </row>
    <row r="405" ht="18" customHeight="1">
      <c r="A405" s="5">
        <f>?utf-8?B?2YLZhtin2Kkg2YXYstin2Kw=?= &lt;fahadalkhanfor@gmail.com&gt;</f>
        <v/>
      </c>
      <c r="B405" s="6" t="inlineStr">
        <is>
          <t>fahadalkhanfor@gmail.com</t>
        </is>
      </c>
      <c r="C405" s="5">
        <f>?utf-8?B?2KfZhNin2LPZhSDYrti32KM=?=</f>
        <v/>
      </c>
      <c r="D405" s="5" t="inlineStr">
        <is>
          <t xml:space="preserve">Hello! How can we help you?  Report فهد خالد رفيج حمد واحمد- : 60444905    الاسم خطأ  </t>
        </is>
      </c>
      <c r="E405" s="7" t="inlineStr">
        <is>
          <t>60444905</t>
        </is>
      </c>
      <c r="F405" s="5" t="inlineStr">
        <is>
          <t>فهد خالد رفيج حمد واحمد-</t>
        </is>
      </c>
      <c r="G405" s="7" t="inlineStr">
        <is>
          <t>60444905</t>
        </is>
      </c>
    </row>
    <row r="406" ht="18" customHeight="1">
      <c r="A406" s="2" t="inlineStr">
        <is>
          <t>hadeel ahmad &lt;hadooola_9991@icloud.com&gt;</t>
        </is>
      </c>
      <c r="B406" s="3" t="inlineStr">
        <is>
          <t>hadooola_9991@icloud.com</t>
        </is>
      </c>
      <c r="C406" s="2" t="inlineStr">
        <is>
          <t xml:space="preserve">delete name </t>
        </is>
      </c>
      <c r="D406" s="2" t="inlineStr">
        <is>
          <t>Hello! How can we help you?  Report ي قطط : 51106022   Sent from my iPhone</t>
        </is>
      </c>
      <c r="E406" s="4" t="inlineStr">
        <is>
          <t>51106022</t>
        </is>
      </c>
      <c r="F406" s="2" t="inlineStr">
        <is>
          <t>ي قطط</t>
        </is>
      </c>
      <c r="G406" s="4" t="inlineStr">
        <is>
          <t>51106022</t>
        </is>
      </c>
    </row>
    <row r="407" ht="18" customHeight="1">
      <c r="A407" s="5" t="inlineStr">
        <is>
          <t>Soud Alqwe3an &lt;soud.alqwe3an@gmail.com&gt;</t>
        </is>
      </c>
      <c r="B407" s="6" t="inlineStr">
        <is>
          <t>soud.alqwe3an@gmail.com</t>
        </is>
      </c>
      <c r="C407" s="5">
        <f>?utf-8?B?2KfZhNin2LPZhSDZitiz2YrYpiDZhNmKINmK2LHYrNmJINi02Lc=?=  =?utf-8?B?2KjZhyA=?=</f>
        <v/>
      </c>
      <c r="D407" s="5" t="inlineStr">
        <is>
          <t>Hello! How can we help you?  Report نووووغ- : 55552442   ‫أُرسلت من الـ iPhone‬</t>
        </is>
      </c>
      <c r="E407" s="7" t="inlineStr">
        <is>
          <t>55552442</t>
        </is>
      </c>
      <c r="F407" s="5" t="inlineStr">
        <is>
          <t>نووووغ-</t>
        </is>
      </c>
      <c r="G407" s="7" t="inlineStr">
        <is>
          <t>55552442</t>
        </is>
      </c>
    </row>
    <row r="408" ht="18" customHeight="1">
      <c r="A408" s="2" t="inlineStr">
        <is>
          <t>Soud Alqwe3an &lt;soud.alqwe3an@gmail.com&gt;</t>
        </is>
      </c>
      <c r="B408" s="3" t="inlineStr">
        <is>
          <t>soud.alqwe3an@gmail.com</t>
        </is>
      </c>
      <c r="C408" s="2">
        <f>?utf-8?B?2KfZhNin2LPZhSDZhdmIINin2LPZhdmKINmK2LHYrNmJINi02Lc=?=  =?utf-8?B?2KjZhyA=?=</f>
        <v/>
      </c>
      <c r="D408" s="2" t="inlineStr">
        <is>
          <t>Hello! How can we help you?  Report هنادي اسبيشل- : 55552442   ‫أُرسلت من الـ iPhone‬</t>
        </is>
      </c>
      <c r="E408" s="4" t="inlineStr">
        <is>
          <t>55552442</t>
        </is>
      </c>
      <c r="F408" s="2" t="inlineStr">
        <is>
          <t>هنادي اسبيشل-</t>
        </is>
      </c>
      <c r="G408" s="4" t="inlineStr">
        <is>
          <t>55552442</t>
        </is>
      </c>
    </row>
    <row r="409" ht="18" customHeight="1">
      <c r="A409" s="5">
        <f>?utf-8?B?2LnYqNiv2KfZhNmE2Ycg2KfZhNmH2KfYrNix2Yo=?= 	&lt;abade2512001@hotmail.com&gt;</f>
        <v/>
      </c>
      <c r="B409" s="6" t="inlineStr">
        <is>
          <t>abade2512001@hotmail.com</t>
        </is>
      </c>
      <c r="C409" s="5" t="inlineStr"/>
      <c r="D409" s="5" t="inlineStr">
        <is>
          <t xml:space="preserve">Hello! How can we help you?  Report خنيس : 90969797  خنيس بمعنى خنيث وهي اساءة لي يرجى الحذف Sent from my iPhone </t>
        </is>
      </c>
      <c r="E409" s="7" t="inlineStr">
        <is>
          <t>90969797</t>
        </is>
      </c>
      <c r="F409" s="5" t="inlineStr">
        <is>
          <t>خنيس</t>
        </is>
      </c>
      <c r="G409" s="7" t="inlineStr">
        <is>
          <t>90969797</t>
        </is>
      </c>
    </row>
    <row r="410" ht="18" customHeight="1">
      <c r="A410" s="2" t="inlineStr">
        <is>
          <t>Tariq Rashid &lt;tareqrashid886@icloud.com&gt;</t>
        </is>
      </c>
      <c r="B410" s="3" t="inlineStr">
        <is>
          <t>tareqrashid886@icloud.com</t>
        </is>
      </c>
      <c r="C410" s="2">
        <f>?utf-8?B?2YXYs9it?=</f>
        <v/>
      </c>
      <c r="D410" s="2" t="inlineStr">
        <is>
          <t>Hello! How can we help you?  Report للبيع- : 99490225   ‫أُرسلت من الـ iPhone‬</t>
        </is>
      </c>
      <c r="E410" s="4" t="inlineStr">
        <is>
          <t>99490225</t>
        </is>
      </c>
      <c r="F410" s="2" t="inlineStr">
        <is>
          <t>للبيع-</t>
        </is>
      </c>
      <c r="G410" s="4" t="inlineStr">
        <is>
          <t>99490225</t>
        </is>
      </c>
    </row>
    <row r="411" ht="18" customHeight="1">
      <c r="A411" s="5" t="inlineStr">
        <is>
          <t>Tariq Rashid &lt;tareqrashid886@icloud.com&gt;</t>
        </is>
      </c>
      <c r="B411" s="6" t="inlineStr">
        <is>
          <t>tareqrashid886@icloud.com</t>
        </is>
      </c>
      <c r="C411" s="5">
        <f>?utf-8?B?2YXYs9it?=</f>
        <v/>
      </c>
      <c r="D411" s="5" t="inlineStr">
        <is>
          <t>Hello! How can we help you?  Report رخلتين- : 99490225   ‫أُرسلت من الـ iPhone‬</t>
        </is>
      </c>
      <c r="E411" s="7" t="inlineStr">
        <is>
          <t>99490225</t>
        </is>
      </c>
      <c r="F411" s="5" t="inlineStr">
        <is>
          <t>رخلتين-</t>
        </is>
      </c>
      <c r="G411" s="7" t="inlineStr">
        <is>
          <t>99490225</t>
        </is>
      </c>
    </row>
    <row r="412" ht="18" customHeight="1">
      <c r="A412" s="2" t="inlineStr">
        <is>
          <t>Tariq Rashid &lt;tareqrashid886@icloud.com&gt;</t>
        </is>
      </c>
      <c r="B412" s="3" t="inlineStr">
        <is>
          <t>tareqrashid886@icloud.com</t>
        </is>
      </c>
      <c r="C412" s="2">
        <f>?utf-8?B?2YXYs9it?=</f>
        <v/>
      </c>
      <c r="D412" s="2" t="inlineStr">
        <is>
          <t>Hello! How can we help you?  Report سوام رخال جهز 110- : 99490225   ‫أُرسلت من الـ iPhone‬</t>
        </is>
      </c>
      <c r="E412" s="4" t="inlineStr">
        <is>
          <t>99490225</t>
        </is>
      </c>
      <c r="F412" s="2" t="inlineStr">
        <is>
          <t>سوام رخال جهز 110-</t>
        </is>
      </c>
      <c r="G412" s="4" t="inlineStr">
        <is>
          <t>99490225</t>
        </is>
      </c>
    </row>
    <row r="413" ht="18" customHeight="1">
      <c r="A413" s="5">
        <f>?utf-8?B?2KvZhtmK2KfZhiDZg9mG2YPZiNmG2Yo=?= &lt;thnyankankonii@gmail.com&gt;</f>
        <v/>
      </c>
      <c r="B413" s="6" t="inlineStr">
        <is>
          <t>thnyankankonii@gmail.com</t>
        </is>
      </c>
      <c r="C413" s="5" t="inlineStr">
        <is>
          <t>Remove my number</t>
        </is>
      </c>
      <c r="D413" s="5" t="inlineStr">
        <is>
          <t>Hello! How can we help you?  Report يبي سعد شقه بجابر مع والدته 10/7/19 : 66222920   ‫أُرسلت من الـ iPhone‬</t>
        </is>
      </c>
      <c r="E413" s="7" t="inlineStr">
        <is>
          <t>66222920</t>
        </is>
      </c>
      <c r="F413" s="5" t="inlineStr">
        <is>
          <t>يبي سعد شقه بجابر مع والدته 10/7/19</t>
        </is>
      </c>
      <c r="G413" s="7" t="inlineStr">
        <is>
          <t>66222920</t>
        </is>
      </c>
    </row>
    <row r="414" ht="18" customHeight="1">
      <c r="A414" s="2" t="inlineStr">
        <is>
          <t>Tota Alm &lt;tweeetyq8@gmail.com&gt;</t>
        </is>
      </c>
      <c r="B414" s="3" t="inlineStr">
        <is>
          <t>tweeetyq8@gmail.com</t>
        </is>
      </c>
      <c r="C414" s="2" t="inlineStr"/>
      <c r="D414" s="2" t="inlineStr">
        <is>
          <t>Hello! How can we help you?  Report تبي لوفلي- : 55110019   Sent from my iPhone  اساءة</t>
        </is>
      </c>
      <c r="E414" s="4" t="inlineStr">
        <is>
          <t>55110019</t>
        </is>
      </c>
      <c r="F414" s="2" t="inlineStr">
        <is>
          <t>تبي لوفلي-</t>
        </is>
      </c>
      <c r="G414" s="4" t="inlineStr">
        <is>
          <t>55110019</t>
        </is>
      </c>
    </row>
    <row r="415" ht="18" customHeight="1">
      <c r="A415" s="5" t="inlineStr">
        <is>
          <t>BAKR AHMED &lt;bakrahmed283@yahoo.com&gt;</t>
        </is>
      </c>
      <c r="B415" s="6" t="inlineStr">
        <is>
          <t>bakrahmed283@yahoo.com</t>
        </is>
      </c>
      <c r="C415" s="5" t="inlineStr"/>
      <c r="D415" s="5" t="inlineStr">
        <is>
          <t>Hello! How can we help you?  Report Flaaaat- : 50804579   Sent from my iPhone</t>
        </is>
      </c>
      <c r="E415" s="7" t="inlineStr">
        <is>
          <t>50804579</t>
        </is>
      </c>
      <c r="F415" s="5" t="inlineStr">
        <is>
          <t>Flaaaat-</t>
        </is>
      </c>
      <c r="G415" s="7" t="inlineStr">
        <is>
          <t>50804579</t>
        </is>
      </c>
    </row>
    <row r="416" ht="18" customHeight="1">
      <c r="A416" s="2" t="inlineStr">
        <is>
          <t>Ahmed Nur &lt;Ahmednur96@outlook.com&gt;</t>
        </is>
      </c>
      <c r="B416" s="3" t="inlineStr">
        <is>
          <t>Ahmednur96@outlook.com</t>
        </is>
      </c>
      <c r="C416" s="2" t="inlineStr"/>
      <c r="D416" s="2" t="inlineStr">
        <is>
          <t xml:space="preserve">Hello! How can we help you?  Report احمد الصومالي عائله : 55151456 </t>
        </is>
      </c>
      <c r="E416" s="4" t="inlineStr">
        <is>
          <t>55151456</t>
        </is>
      </c>
      <c r="F416" s="2" t="inlineStr">
        <is>
          <t>احمد الصومالي عائله</t>
        </is>
      </c>
      <c r="G416" s="4" t="inlineStr">
        <is>
          <t>55151456</t>
        </is>
      </c>
    </row>
    <row r="417" ht="18" customHeight="1">
      <c r="A417" s="5" t="inlineStr">
        <is>
          <t>Ahmed Nur &lt;Ahmednur96@outlook.com&gt;</t>
        </is>
      </c>
      <c r="B417" s="6" t="inlineStr">
        <is>
          <t>Ahmednur96@outlook.com</t>
        </is>
      </c>
      <c r="C417" s="5" t="inlineStr"/>
      <c r="D417" s="5" t="inlineStr">
        <is>
          <t xml:space="preserve">Hello! How can we help you?  Report Baby Boy : 55151456 </t>
        </is>
      </c>
      <c r="E417" s="7" t="inlineStr">
        <is>
          <t>55151456</t>
        </is>
      </c>
      <c r="F417" s="5" t="inlineStr">
        <is>
          <t>Baby Boy</t>
        </is>
      </c>
      <c r="G417" s="7" t="inlineStr">
        <is>
          <t>55151456</t>
        </is>
      </c>
    </row>
    <row r="418" ht="18" customHeight="1">
      <c r="A418" s="2" t="inlineStr">
        <is>
          <t>manahi alotaibi &lt;manahi_q8@live.com&gt;</t>
        </is>
      </c>
      <c r="B418" s="3" t="inlineStr">
        <is>
          <t>manahi_q8@live.com</t>
        </is>
      </c>
      <c r="C418" s="2" t="inlineStr"/>
      <c r="D418" s="2" t="inlineStr">
        <is>
          <t xml:space="preserve">Hello! How can we help you?  Report ابو محمد الفحيحيل قطعة 3 ش 1 منزل 149 : 99444029  ‫أُرسلت من الـ iPhone‬ </t>
        </is>
      </c>
      <c r="E418" s="4" t="inlineStr">
        <is>
          <t>99444029</t>
        </is>
      </c>
      <c r="F418" s="2" t="inlineStr">
        <is>
          <t>ابو محمد الفحيحيل قطعة 3 ش 1 منزل 149</t>
        </is>
      </c>
      <c r="G418" s="4" t="inlineStr">
        <is>
          <t>99444029</t>
        </is>
      </c>
    </row>
    <row r="419" ht="18" customHeight="1">
      <c r="A419" s="5" t="inlineStr">
        <is>
          <t>Naser Safar &lt;nfakwt@hotmail.com&gt;</t>
        </is>
      </c>
      <c r="B419" s="6" t="inlineStr">
        <is>
          <t>nfakwt@hotmail.com</t>
        </is>
      </c>
      <c r="C419" s="5" t="inlineStr"/>
      <c r="D419" s="5" t="inlineStr">
        <is>
          <t xml:space="preserve">Hello! How can we help you?  Report Fatma ❤️‍ : 96096065  ‫أُرسلت من الـ iPhone‬ </t>
        </is>
      </c>
      <c r="E419" s="7" t="inlineStr">
        <is>
          <t>96096065</t>
        </is>
      </c>
      <c r="F419" s="5" t="inlineStr">
        <is>
          <t>Fatma ❤️‍</t>
        </is>
      </c>
      <c r="G419" s="7" t="inlineStr">
        <is>
          <t>96096065</t>
        </is>
      </c>
    </row>
    <row r="420" ht="18" customHeight="1">
      <c r="A420" s="2" t="inlineStr">
        <is>
          <t>Soud alanzy &lt;sal3nzy.501@icloud.com&gt;</t>
        </is>
      </c>
      <c r="B420" s="3" t="inlineStr">
        <is>
          <t>sal3nzy.501@icloud.com</t>
        </is>
      </c>
      <c r="C420" s="2">
        <f>?utf-8?B?2K3YsNmBINin2YTYsdmC2YUg?=</f>
        <v/>
      </c>
      <c r="D420" s="2" t="inlineStr">
        <is>
          <t>Hello! How can we help you?  Report ابو عبدالله سعود العنزي مسجد زيد : 50712381   ‫أُرسلت من الـ iPhone‬</t>
        </is>
      </c>
      <c r="E420" s="4" t="inlineStr">
        <is>
          <t>50712381</t>
        </is>
      </c>
      <c r="F420" s="2" t="inlineStr">
        <is>
          <t>ابو عبدالله سعود العنزي مسجد زيد</t>
        </is>
      </c>
      <c r="G420" s="4" t="inlineStr">
        <is>
          <t>50712381</t>
        </is>
      </c>
    </row>
    <row r="421" ht="18" customHeight="1">
      <c r="A421" s="5" t="inlineStr">
        <is>
          <t>f alajmi &lt;f92xq8@gmail.com&gt;</t>
        </is>
      </c>
      <c r="B421" s="6" t="inlineStr">
        <is>
          <t>f92xq8@gmail.com</t>
        </is>
      </c>
      <c r="C421" s="5">
        <f>?utf-8?B?2K3YsNmBINin2YTYp9iz2YUg?=</f>
        <v/>
      </c>
      <c r="D421" s="5" t="inlineStr">
        <is>
          <t>Hello! How can we help you?  الرجاء حذف الاسم   Report أم فجوور غرفتين الرقه : 95594457    Sent from my iPhone</t>
        </is>
      </c>
      <c r="E421" s="7" t="inlineStr">
        <is>
          <t>95594457</t>
        </is>
      </c>
      <c r="F421" s="5" t="inlineStr">
        <is>
          <t>أم فجوور غرفتين الرقه</t>
        </is>
      </c>
      <c r="G421" s="7" t="inlineStr">
        <is>
          <t>95594457</t>
        </is>
      </c>
    </row>
    <row r="422" ht="18" customHeight="1">
      <c r="A422" s="2" t="inlineStr">
        <is>
          <t>Abdullah Alazmi &lt;Alburaikiq8@hotmail.com&gt;</t>
        </is>
      </c>
      <c r="B422" s="3" t="inlineStr">
        <is>
          <t>Alburaikiq8@hotmail.com</t>
        </is>
      </c>
      <c r="C422" s="2" t="inlineStr"/>
      <c r="D422" s="2" t="inlineStr">
        <is>
          <t xml:space="preserve">Hello! How can we help you?  Report عبدالله حامد المجليه ( الهندي ) : 96011221  Sent from my iPhone </t>
        </is>
      </c>
      <c r="E422" s="4" t="inlineStr">
        <is>
          <t>96011221</t>
        </is>
      </c>
      <c r="F422" s="2" t="inlineStr">
        <is>
          <t>عبدالله حامد المجليه ( الهندي )</t>
        </is>
      </c>
      <c r="G422" s="4" t="inlineStr">
        <is>
          <t>96011221</t>
        </is>
      </c>
    </row>
    <row r="423" ht="18" customHeight="1">
      <c r="A423" s="5" t="inlineStr">
        <is>
          <t>Aisha Almubarak &lt;aisha.almubarak@gmail.com&gt;</t>
        </is>
      </c>
      <c r="B423" s="6" t="inlineStr">
        <is>
          <t>aisha.almubarak@gmail.com</t>
        </is>
      </c>
      <c r="C423" s="5">
        <f>?utf-8?B?UmU6INil2KjZhNin2Log2LnZhiDYp9iz2YUg2YXYs9is2YQg?=</f>
        <v/>
      </c>
      <c r="D423" s="5" t="inlineStr">
        <is>
          <t xml:space="preserve"> An inappropriate name has been registered under this number. This is the name. Please delete it. The name ( عايشة المبارك عند حمود ) The number 99853892  Thank you   &gt; On 8 Oct 2025, at 1:37 PM, Aisha Almubarak &lt;aisha.almubarak@gmail.com&gt; wrote: &gt;  &gt; ﻿ &gt; Hello! How can we help you? &gt;  &gt; Report عايشة المبارك عند حمود : 99853892 &gt;  &gt; هذا الاسم ليش جذي ! غلط و أدبيا ما يصير  &gt; Sent from my iPhone </t>
        </is>
      </c>
      <c r="E423" s="7" t="inlineStr">
        <is>
          <t>99853892</t>
        </is>
      </c>
      <c r="F423" s="5" t="inlineStr">
        <is>
          <t>عايشة المبارك عند حمود</t>
        </is>
      </c>
      <c r="G423" s="7" t="inlineStr">
        <is>
          <t>99853892</t>
        </is>
      </c>
    </row>
    <row r="424" ht="18" customHeight="1">
      <c r="A424" s="2" t="inlineStr">
        <is>
          <t>Yoyo wlhgd &lt;y.nbk@icloud.com&gt;</t>
        </is>
      </c>
      <c r="B424" s="3" t="inlineStr">
        <is>
          <t>y.nbk@icloud.com</t>
        </is>
      </c>
      <c r="C424" s="2">
        <f>?utf-8?B?2KfYs9in2KHYqSDYp9mE2LHYrNin2KEg2K3YsNmBINin2YTYqti5?=  =?utf-8?B?2YTZitmCINmH2KfYp9mFINis2K/Ypw==?=</f>
        <v/>
      </c>
      <c r="D424" s="2" t="inlineStr">
        <is>
          <t>Hello! How can we help you?  Report رنج2014 101 6 سلندر احمر : 97978384   ‫أُرسلت من الـ iPhone‬</t>
        </is>
      </c>
      <c r="E424" s="4" t="inlineStr">
        <is>
          <t>97978384</t>
        </is>
      </c>
      <c r="F424" s="2" t="inlineStr">
        <is>
          <t>رنج2014 101 6 سلندر احمر</t>
        </is>
      </c>
      <c r="G424" s="4" t="inlineStr">
        <is>
          <t>97978384</t>
        </is>
      </c>
    </row>
    <row r="425" ht="18" customHeight="1">
      <c r="A425" s="5" t="inlineStr">
        <is>
          <t>Yoyo wlhgd &lt;y.nbk@icloud.com&gt;</t>
        </is>
      </c>
      <c r="B425" s="6" t="inlineStr">
        <is>
          <t>y.nbk@icloud.com</t>
        </is>
      </c>
      <c r="C425" s="5">
        <f>?utf-8?B?2KfYs9in2KHYqSDYp9mE2LHYrNin2KEg2K3YsNmBINin2YTYqti5?=  =?utf-8?B?2YTZitmCINmH2KfYp9mFINis2K/Ypw==?=</f>
        <v/>
      </c>
      <c r="D425" s="5" t="inlineStr">
        <is>
          <t>Hello! How can we help you?  Report رنج2014 101 6 سلندر احمر : 97978384   ‫أُرسلت من الـ iPhone‬</t>
        </is>
      </c>
      <c r="E425" s="7" t="inlineStr">
        <is>
          <t>97978384</t>
        </is>
      </c>
      <c r="F425" s="5" t="inlineStr">
        <is>
          <t>رنج2014 101 6 سلندر احمر</t>
        </is>
      </c>
      <c r="G425" s="7" t="inlineStr">
        <is>
          <t>97978384</t>
        </is>
      </c>
    </row>
    <row r="426" ht="18" customHeight="1">
      <c r="A426" s="2" t="inlineStr">
        <is>
          <t>Yoyo wlhgd &lt;y.nbk@icloud.com&gt;</t>
        </is>
      </c>
      <c r="B426" s="3" t="inlineStr">
        <is>
          <t>y.nbk@icloud.com</t>
        </is>
      </c>
      <c r="C426" s="2">
        <f>?utf-8?B?2KfYs9in2KHYqSDYp9mE2LHYrNin2KEg2K3YsNmBINin2YTYqti5?=  =?utf-8?B?2YTZitmCINmH2KfYp9mFINis2K/Ypw==?=</f>
        <v/>
      </c>
      <c r="D426" s="2" t="inlineStr">
        <is>
          <t>Hello! How can we help you?  Report رنج2014 101 6 سلندر احمر : 97978384   ‫أُرسلت من الـ iPhone‬</t>
        </is>
      </c>
      <c r="E426" s="4" t="inlineStr">
        <is>
          <t>97978384</t>
        </is>
      </c>
      <c r="F426" s="2" t="inlineStr">
        <is>
          <t>رنج2014 101 6 سلندر احمر</t>
        </is>
      </c>
      <c r="G426" s="4" t="inlineStr">
        <is>
          <t>97978384</t>
        </is>
      </c>
    </row>
    <row r="427" ht="18" customHeight="1">
      <c r="A427" s="5">
        <f>?utf-8?B?2LPYp9ix2Ycg2KfZhNi52KzZhdmK?= &lt;salajmie@icloud.com&gt;</f>
        <v/>
      </c>
      <c r="B427" s="6" t="inlineStr">
        <is>
          <t>salajmie@icloud.com</t>
        </is>
      </c>
      <c r="C427" s="5">
        <f>?utf-8?B?2KfZhNix2KzYp9ihINin2LLYp9mE2Kkg2LHZgtmF2Yog2YTYp9mG?=  =?utf-8?B?2Ycg2YrZiNis2K8g2YHZitmHINi52YbZiNin2YYg2YXZhtiy2YQ=?=  =?utf-8?B?2Yog?=</f>
        <v/>
      </c>
      <c r="D427" s="5" t="inlineStr">
        <is>
          <t>Hello! How can we help you?  Report اشبليه ق 4 ش : 66022752   ‫أُرسلت من الـ iPhone‬</t>
        </is>
      </c>
      <c r="E427" s="7" t="inlineStr">
        <is>
          <t>66022752</t>
        </is>
      </c>
      <c r="F427" s="5" t="inlineStr">
        <is>
          <t>اشبليه ق 4 ش</t>
        </is>
      </c>
      <c r="G427" s="7" t="inlineStr">
        <is>
          <t>66022752</t>
        </is>
      </c>
    </row>
    <row r="428" ht="18" customHeight="1">
      <c r="A428" s="2" t="inlineStr">
        <is>
          <t>M B M AL &lt;mb.q8.305@icloud.com&gt;</t>
        </is>
      </c>
      <c r="B428" s="3" t="inlineStr">
        <is>
          <t>mb.q8.305@icloud.com</t>
        </is>
      </c>
      <c r="C428" s="2">
        <f>?utf-8?B?2YfYsNinINiu2LfZiiDYp9mE2YLYr9mK2YUg2YXYs9it2Ygg2Kc=?=  =?utf-8?B?2LPZhdmKINmF2YYg2YfZhCDYp9mE2KjZitin2Lkg?=</f>
        <v/>
      </c>
      <c r="D428" s="2" t="inlineStr">
        <is>
          <t>Hello! How can we help you?  مسحو اسمي من الي اخذ الخط الخط تم تغييره رجاء   Report حمود المطيري- : 97967291   ‫أُرسلت من الـ iPhone‬</t>
        </is>
      </c>
      <c r="E428" s="4" t="inlineStr">
        <is>
          <t>97967291</t>
        </is>
      </c>
      <c r="F428" s="2" t="inlineStr">
        <is>
          <t>حمود المطيري-</t>
        </is>
      </c>
      <c r="G428" s="4" t="inlineStr">
        <is>
          <t>97967291</t>
        </is>
      </c>
    </row>
    <row r="429" ht="18" customHeight="1">
      <c r="A429" s="5" t="inlineStr">
        <is>
          <t>hadeel ahmad &lt;hadooola_9991@icloud.com&gt;</t>
        </is>
      </c>
      <c r="B429" s="6" t="inlineStr">
        <is>
          <t>hadooola_9991@icloud.com</t>
        </is>
      </c>
      <c r="C429" s="5" t="inlineStr"/>
      <c r="D429" s="5" t="inlineStr">
        <is>
          <t>Hello! How can we help you?  Report ي قطط : 51106022   Sent from my iPhone</t>
        </is>
      </c>
      <c r="E429" s="7" t="inlineStr">
        <is>
          <t>51106022</t>
        </is>
      </c>
      <c r="F429" s="5" t="inlineStr">
        <is>
          <t>ي قطط</t>
        </is>
      </c>
      <c r="G429" s="7" t="inlineStr">
        <is>
          <t>51106022</t>
        </is>
      </c>
    </row>
    <row r="430" ht="18" customHeight="1">
      <c r="A430" s="2">
        <f>?utf-8?B?4oCi0rLMuNKz4pSHIDfEgSDEu8SBIM+JxIEg4pSH0rPMuNKyzLjigKIgLg==?= 	&lt;la6oofa-92@hotmail.com&gt;</f>
        <v/>
      </c>
      <c r="B430" s="3" t="inlineStr">
        <is>
          <t>la6oofa-92@hotmail.com</t>
        </is>
      </c>
      <c r="C430" s="2" t="inlineStr">
        <is>
          <t xml:space="preserve">Remove this </t>
        </is>
      </c>
      <c r="D430" s="2" t="inlineStr">
        <is>
          <t xml:space="preserve">Hello! How can we help you?  Report 26 Sep@4:30 For 6 : 66551271  Sent from my iPhone </t>
        </is>
      </c>
      <c r="E430" s="4" t="inlineStr">
        <is>
          <t>66551271</t>
        </is>
      </c>
      <c r="F430" s="2" t="inlineStr">
        <is>
          <t>26 Sep@4:30 For 6</t>
        </is>
      </c>
      <c r="G430" s="4" t="inlineStr">
        <is>
          <t>66551271</t>
        </is>
      </c>
    </row>
    <row r="431" ht="18" customHeight="1">
      <c r="A431" s="5" t="inlineStr">
        <is>
          <t>Hamad Mishari &lt;hamadon8a_95@icloud.com&gt;</t>
        </is>
      </c>
      <c r="B431" s="6" t="inlineStr">
        <is>
          <t>hamadon8a_95@icloud.com</t>
        </is>
      </c>
      <c r="C431" s="5">
        <f>?utf-8?B?2KfZhNin2LPZhSDZitiz2KjYqCDZhNmKINin2K3Ysdin2Kwg2YE=?=  =?utf-8?B?2Yog2YXZgtixINi52YXZhNmK?=</f>
        <v/>
      </c>
      <c r="D431" s="5" t="inlineStr">
        <is>
          <t>Hello! How can we help you?  Report حمد البقه- : 90096816   Sent from my iPhone</t>
        </is>
      </c>
      <c r="E431" s="7" t="inlineStr">
        <is>
          <t>90096816</t>
        </is>
      </c>
      <c r="F431" s="5" t="inlineStr">
        <is>
          <t>حمد البقه-</t>
        </is>
      </c>
      <c r="G431" s="7" t="inlineStr">
        <is>
          <t>90096816</t>
        </is>
      </c>
    </row>
    <row r="432" ht="18" customHeight="1">
      <c r="A432" s="2" t="inlineStr">
        <is>
          <t>A Alrougi &lt;Alrougi.a@outlook.com&gt;</t>
        </is>
      </c>
      <c r="B432" s="3" t="inlineStr">
        <is>
          <t>Alrougi.a@outlook.com</t>
        </is>
      </c>
      <c r="C432" s="2" t="inlineStr"/>
      <c r="D432" s="2" t="inlineStr">
        <is>
          <t xml:space="preserve">Hello! How can we help you?  Report عبدالله فارس فوزيه : 90077660  Sent from my iPhone </t>
        </is>
      </c>
      <c r="E432" s="4" t="inlineStr">
        <is>
          <t>90077660</t>
        </is>
      </c>
      <c r="F432" s="2" t="inlineStr">
        <is>
          <t>عبدالله فارس فوزيه</t>
        </is>
      </c>
      <c r="G432" s="4" t="inlineStr">
        <is>
          <t>90077660</t>
        </is>
      </c>
    </row>
    <row r="433" ht="18" customHeight="1">
      <c r="A433" s="5" t="inlineStr">
        <is>
          <t>talal eledwany &lt;talal5151k@icloud.com&gt;</t>
        </is>
      </c>
      <c r="B433" s="6" t="inlineStr">
        <is>
          <t>talal5151k@icloud.com</t>
        </is>
      </c>
      <c r="C433" s="5">
        <f>?utf-8?B?2LPYqCDZiNmC2LDZgQ==?=</f>
        <v/>
      </c>
      <c r="D433" s="5" t="inlineStr">
        <is>
          <t>Hello! How can we help you?  Report مو-رجال : 97933310   ‫أُرسلت من الـ iPhone‬</t>
        </is>
      </c>
      <c r="E433" s="7" t="inlineStr">
        <is>
          <t>97933310</t>
        </is>
      </c>
      <c r="F433" s="5" t="inlineStr">
        <is>
          <t>مو-رجال</t>
        </is>
      </c>
      <c r="G433" s="7" t="inlineStr">
        <is>
          <t>97933310</t>
        </is>
      </c>
    </row>
    <row r="434" ht="18" customHeight="1">
      <c r="A434" s="2" t="inlineStr">
        <is>
          <t>hmne hgekze &lt;plkdoneplkd@gmail.com&gt;</t>
        </is>
      </c>
      <c r="B434" s="3" t="inlineStr">
        <is>
          <t>plkdoneplkd@gmail.com</t>
        </is>
      </c>
      <c r="C434" s="2">
        <f>?utf-8?B?2LrZitixINit2YLZitmC2Yo=?=</f>
        <v/>
      </c>
      <c r="D434" s="2" t="inlineStr">
        <is>
          <t>Hello! How can we help you?  Report التسويق : 51638888   ‫أُرسلت من الـ iPhone‬</t>
        </is>
      </c>
      <c r="E434" s="4" t="inlineStr">
        <is>
          <t>51638888</t>
        </is>
      </c>
      <c r="F434" s="2" t="inlineStr">
        <is>
          <t>التسويق</t>
        </is>
      </c>
      <c r="G434" s="4" t="inlineStr">
        <is>
          <t>51638888</t>
        </is>
      </c>
    </row>
    <row r="435" ht="18" customHeight="1">
      <c r="A435" s="5" t="inlineStr">
        <is>
          <t>Hajar Bader &lt;hajar_b@live.com&gt;</t>
        </is>
      </c>
      <c r="B435" s="6" t="inlineStr">
        <is>
          <t>hajar_b@live.com</t>
        </is>
      </c>
      <c r="C435" s="5" t="inlineStr">
        <is>
          <t xml:space="preserve">its harmful </t>
        </is>
      </c>
      <c r="D435" s="5" t="inlineStr">
        <is>
          <t xml:space="preserve">Hello! How can we help you?  Report عبده : 55588458  Sent from my iPhone </t>
        </is>
      </c>
      <c r="E435" s="7" t="inlineStr">
        <is>
          <t>55588458</t>
        </is>
      </c>
      <c r="F435" s="5" t="inlineStr">
        <is>
          <t>عبده</t>
        </is>
      </c>
      <c r="G435" s="7" t="inlineStr">
        <is>
          <t>55588458</t>
        </is>
      </c>
    </row>
    <row r="436" ht="18" customHeight="1">
      <c r="A436" s="2">
        <f>?utf-8?B?2LnYqNiv2KfZhNix2K3ZhdmGINin2YTZhdi32YrYsdmK?= &lt;7sha1fsha@gmail.com&gt;</f>
        <v/>
      </c>
      <c r="B436" s="3" t="inlineStr">
        <is>
          <t>7sha1fsha@gmail.com</t>
        </is>
      </c>
      <c r="C436" s="2" t="inlineStr">
        <is>
          <t>He saying something bad about my mother please delete it</t>
        </is>
      </c>
      <c r="D436" s="2" t="inlineStr">
        <is>
          <t>Hello! How can we help you?  Report امه حلوه : 94754747   Sent from my iPhone</t>
        </is>
      </c>
      <c r="E436" s="4" t="inlineStr">
        <is>
          <t>94754747</t>
        </is>
      </c>
      <c r="F436" s="2" t="inlineStr">
        <is>
          <t>امه حلوه</t>
        </is>
      </c>
      <c r="G436" s="4" t="inlineStr">
        <is>
          <t>94754747</t>
        </is>
      </c>
    </row>
    <row r="437" ht="18" customHeight="1">
      <c r="A437" s="5" t="inlineStr">
        <is>
          <t>salem alhumaidhi &lt;sfsyh17@gmail.com&gt;</t>
        </is>
      </c>
      <c r="B437" s="6" t="inlineStr">
        <is>
          <t>sfsyh17@gmail.com</t>
        </is>
      </c>
      <c r="C437" s="5" t="inlineStr"/>
      <c r="D437" s="5" t="inlineStr">
        <is>
          <t>Hello! How can we help you?  Report Nkhongbat11 : 51777775   Sent from my iPhone</t>
        </is>
      </c>
      <c r="E437" s="7" t="inlineStr">
        <is>
          <t>51777775</t>
        </is>
      </c>
      <c r="F437" s="5" t="inlineStr">
        <is>
          <t>Nkhongbat11</t>
        </is>
      </c>
      <c r="G437" s="7" t="inlineStr">
        <is>
          <t>51777775</t>
        </is>
      </c>
    </row>
    <row r="438" ht="18" customHeight="1">
      <c r="A438" s="2" t="inlineStr">
        <is>
          <t>Mostafa Khalaf &lt;masry22m@icloud.com&gt;</t>
        </is>
      </c>
      <c r="B438" s="3" t="inlineStr">
        <is>
          <t>masry22m@icloud.com</t>
        </is>
      </c>
      <c r="C438" s="2">
        <f>?utf-8?B?2YfYsNinINin2YTZhdiz2YXZiSDYutmK2LEg2YTYp9im2YIg?=</f>
        <v/>
      </c>
      <c r="D438" s="2" t="inlineStr">
        <is>
          <t>Hello! How can we help you?  Report مصطفي كيمياء ضعيف : 94901676   ‫أُرسلت من الـ iPhone‬</t>
        </is>
      </c>
      <c r="E438" s="4" t="inlineStr">
        <is>
          <t>94901676</t>
        </is>
      </c>
      <c r="F438" s="2" t="inlineStr">
        <is>
          <t>مصطفي كيمياء ضعيف</t>
        </is>
      </c>
      <c r="G438" s="4" t="inlineStr">
        <is>
          <t>94901676</t>
        </is>
      </c>
    </row>
    <row r="439" ht="18" customHeight="1">
      <c r="A439" s="5" t="inlineStr">
        <is>
          <t>"mahmoud. f98" &lt;mahmoudfares19980@gmail.com&gt;</t>
        </is>
      </c>
      <c r="B439" s="6" t="inlineStr">
        <is>
          <t>mahmoudfares19980@gmail.com</t>
        </is>
      </c>
      <c r="C439" s="5">
        <f>?utf-8?B?2KfYs9mFICjZhNmB2LYg2YLYqNmK2K0p?=</f>
        <v/>
      </c>
      <c r="D439" s="5" t="inlineStr">
        <is>
          <t>Hello! How can we help you?  Report محمود خصوتين : 99458140   ‫أُرسلت من الـ iPhone‬</t>
        </is>
      </c>
      <c r="E439" s="7" t="inlineStr">
        <is>
          <t>99458140</t>
        </is>
      </c>
      <c r="F439" s="5" t="inlineStr">
        <is>
          <t>محمود خصوتين</t>
        </is>
      </c>
      <c r="G439" s="7" t="inlineStr">
        <is>
          <t>99458140</t>
        </is>
      </c>
    </row>
    <row r="440" ht="18" customHeight="1">
      <c r="A440" s="2" t="inlineStr">
        <is>
          <t>Abrar Alqallaf &lt;abraralqallaf303@gmail.com&gt;</t>
        </is>
      </c>
      <c r="B440" s="3" t="inlineStr">
        <is>
          <t>abraralqallaf303@gmail.com</t>
        </is>
      </c>
      <c r="C440" s="2">
        <f>?utf-8?B?2KfYqNmKINit2YQg?=</f>
        <v/>
      </c>
      <c r="D440" s="2" t="inlineStr">
        <is>
          <t xml:space="preserve">Hello! How can we help you?  Report ابرار علي : 96067773   1-ابرار القلاف وزاره الشؤون الاسلاميه   2-عايلتي واسم ابوي ووين اداوم ياليت تمسحونه يسبب مشكله هالشي لو سمحتو   </t>
        </is>
      </c>
      <c r="E440" s="4" t="inlineStr">
        <is>
          <t>96067773</t>
        </is>
      </c>
      <c r="F440" s="2" t="inlineStr">
        <is>
          <t>ابرار علي</t>
        </is>
      </c>
      <c r="G440" s="4" t="inlineStr">
        <is>
          <t>96067773</t>
        </is>
      </c>
    </row>
    <row r="441" ht="18" customHeight="1">
      <c r="A441" s="5" t="inlineStr">
        <is>
          <t>Safwa Mohamed farghaly &lt;safwa.mohamed8464@gmail.com&gt;</t>
        </is>
      </c>
      <c r="B441" s="6" t="inlineStr">
        <is>
          <t>safwa.mohamed8464@gmail.com</t>
        </is>
      </c>
      <c r="C441" s="5">
        <f>?utf-8?B?2LnZhtmI2KfZhg==?=</f>
        <v/>
      </c>
      <c r="D441" s="5" t="inlineStr">
        <is>
          <t>Hello! How can we help you?  Report محمد زهراء ق5ش508م7 : 90069669   Sent from my iPhone</t>
        </is>
      </c>
      <c r="E441" s="7" t="inlineStr">
        <is>
          <t>90069669</t>
        </is>
      </c>
      <c r="F441" s="5" t="inlineStr">
        <is>
          <t>محمد زهراء ق5ش508م7</t>
        </is>
      </c>
      <c r="G441" s="7" t="inlineStr">
        <is>
          <t>90069669</t>
        </is>
      </c>
    </row>
    <row r="442" ht="18" customHeight="1">
      <c r="A442" s="2">
        <f>?utf-8?B?2K3ZhdivINin2YTZgtit2LfYp9mG2Yo=?= &lt;ha0444513@gmail.com&gt;</f>
        <v/>
      </c>
      <c r="B442" s="3" t="inlineStr">
        <is>
          <t>ha0444513@gmail.com</t>
        </is>
      </c>
      <c r="C442" s="2">
        <f>?utf-8?B?2YXYs9itINin2YTYp9iz2YU=?=</f>
        <v/>
      </c>
      <c r="D442" s="2" t="inlineStr">
        <is>
          <t>Hello! How can we help you?  Report لو فبيرد 18 : 94955710   ‫أُرسلت من الـ iPhone‬</t>
        </is>
      </c>
      <c r="E442" s="4" t="inlineStr">
        <is>
          <t>94955710</t>
        </is>
      </c>
      <c r="F442" s="2" t="inlineStr">
        <is>
          <t>لو فبيرد 18</t>
        </is>
      </c>
      <c r="G442" s="4" t="inlineStr">
        <is>
          <t>94955710</t>
        </is>
      </c>
    </row>
    <row r="443" ht="18" customHeight="1">
      <c r="A443" s="5">
        <f>?utf-8?B?2K3ZhdivINin2YTZgtit2LfYp9mG2Yo=?= &lt;ha0444513@gmail.com&gt;</f>
        <v/>
      </c>
      <c r="B443" s="6" t="inlineStr">
        <is>
          <t>ha0444513@gmail.com</t>
        </is>
      </c>
      <c r="C443" s="5">
        <f>?utf-8?B?2YXYs9itINin2YTYp9iz2YU=?=</f>
        <v/>
      </c>
      <c r="D443" s="5" t="inlineStr">
        <is>
          <t>Hello! How can we help you?  Report مطلوب لوف بيرد : 94955710   ‫أُرسلت من الـ iPhone‬</t>
        </is>
      </c>
      <c r="E443" s="7" t="inlineStr">
        <is>
          <t>94955710</t>
        </is>
      </c>
      <c r="F443" s="5" t="inlineStr">
        <is>
          <t>مطلوب لوف بيرد</t>
        </is>
      </c>
      <c r="G443" s="7" t="inlineStr">
        <is>
          <t>94955710</t>
        </is>
      </c>
    </row>
    <row r="444" ht="18" customHeight="1">
      <c r="A444" s="2">
        <f>?utf-8?B?2K3ZhdivINin2YTZgtit2LfYp9mG2Yo=?= &lt;ha0444513@gmail.com&gt;</f>
        <v/>
      </c>
      <c r="B444" s="3" t="inlineStr">
        <is>
          <t>ha0444513@gmail.com</t>
        </is>
      </c>
      <c r="C444" s="2">
        <f>?utf-8?B?2YXYs9itINin2YTYp9iz2YU=?=</f>
        <v/>
      </c>
      <c r="D444" s="2" t="inlineStr">
        <is>
          <t>Hello! How can we help you?  Report khyri 16 : 94955710   ‫أُرسلت من الـ iPhone‬</t>
        </is>
      </c>
      <c r="E444" s="4" t="inlineStr">
        <is>
          <t>94955710</t>
        </is>
      </c>
      <c r="F444" s="2" t="inlineStr">
        <is>
          <t>khyri 16</t>
        </is>
      </c>
      <c r="G444" s="4" t="inlineStr">
        <is>
          <t>94955710</t>
        </is>
      </c>
    </row>
    <row r="445" ht="18" customHeight="1">
      <c r="A445" s="5" t="inlineStr">
        <is>
          <t>Store App &lt;kuw9080q@gmail.com&gt;</t>
        </is>
      </c>
      <c r="B445" s="6" t="inlineStr">
        <is>
          <t>kuw9080q@gmail.com</t>
        </is>
      </c>
      <c r="C445" s="5">
        <f>?utf-8?B?2YrYs9io2Kgg2YTZiiDZh9iw2Kcg2KfZhNin2LPZhSDZhdi02Kc=?=  =?utf-8?B?2YPZhCDZhdi5INin2YfZhNmK?=</f>
        <v/>
      </c>
      <c r="D445" s="5" t="inlineStr">
        <is>
          <t>Hello! How can we help you?  Report ناصر-نصيب : 99230895   ‫أُرسلت من الـ iPhone‬</t>
        </is>
      </c>
      <c r="E445" s="7" t="inlineStr">
        <is>
          <t>99230895</t>
        </is>
      </c>
      <c r="F445" s="5" t="inlineStr">
        <is>
          <t>ناصر-نصيب</t>
        </is>
      </c>
      <c r="G445" s="7" t="inlineStr">
        <is>
          <t>99230895</t>
        </is>
      </c>
    </row>
    <row r="446" ht="18" customHeight="1">
      <c r="A446" s="2" t="inlineStr">
        <is>
          <t>maali alshrifi &lt;maalialshrifi@yahoo.com&gt;</t>
        </is>
      </c>
      <c r="B446" s="3" t="inlineStr">
        <is>
          <t>maalialshrifi@yahoo.com</t>
        </is>
      </c>
      <c r="C446" s="2" t="inlineStr"/>
      <c r="D446" s="2" t="inlineStr">
        <is>
          <t xml:space="preserve">Hello! How can we help you?  Report ز ام ضاري العارضيه ق4 ش2 م8 : 66176361   Sent from my iPhone  الرجاء حذف العنوان للخصوصيه </t>
        </is>
      </c>
      <c r="E446" s="4" t="inlineStr">
        <is>
          <t>66176361</t>
        </is>
      </c>
      <c r="F446" s="2" t="inlineStr">
        <is>
          <t>ز ام ضاري العارضيه ق4 ش2 م8</t>
        </is>
      </c>
      <c r="G446" s="4" t="inlineStr">
        <is>
          <t>66176361</t>
        </is>
      </c>
    </row>
    <row r="447" ht="18" customHeight="1">
      <c r="A447" s="5" t="inlineStr">
        <is>
          <t>shmayel aldh &lt;itsshmayel@icloud.com&gt;</t>
        </is>
      </c>
      <c r="B447" s="6" t="inlineStr">
        <is>
          <t>itsshmayel@icloud.com</t>
        </is>
      </c>
      <c r="C447" s="5" t="inlineStr"/>
      <c r="D447" s="5" t="inlineStr">
        <is>
          <t>Hello! How can we help you?  Report ام خالد 4 أبناء كبار تبي إيجار شقه غ ع : 60668118   Sent from my iPhone</t>
        </is>
      </c>
      <c r="E447" s="7" t="inlineStr">
        <is>
          <t>60668118</t>
        </is>
      </c>
      <c r="F447" s="5" t="inlineStr">
        <is>
          <t>ام خالد 4 أبناء كبار تبي إيجار شقه غ ع</t>
        </is>
      </c>
      <c r="G447" s="7" t="inlineStr">
        <is>
          <t>60668118</t>
        </is>
      </c>
    </row>
    <row r="448" ht="18" customHeight="1">
      <c r="A448" s="2" t="inlineStr">
        <is>
          <t>shmayel aldh &lt;itsshmayel@icloud.com&gt;</t>
        </is>
      </c>
      <c r="B448" s="3" t="inlineStr">
        <is>
          <t>itsshmayel@icloud.com</t>
        </is>
      </c>
      <c r="C448" s="2" t="inlineStr"/>
      <c r="D448" s="2" t="inlineStr">
        <is>
          <t>Hello! How can we help you?  Report َ طالبه شقه ب عبداللله مبارك : 60668118   Sent from my iPhone</t>
        </is>
      </c>
      <c r="E448" s="4" t="inlineStr">
        <is>
          <t>60668118</t>
        </is>
      </c>
      <c r="F448" s="2" t="inlineStr">
        <is>
          <t>َ طالبه شقه ب عبداللله مبارك</t>
        </is>
      </c>
      <c r="G448" s="4" t="inlineStr">
        <is>
          <t>60668118</t>
        </is>
      </c>
    </row>
    <row r="449" ht="18" customHeight="1">
      <c r="A449" s="5" t="inlineStr">
        <is>
          <t>lulwa alturaiji &lt;alturaijilulwa@hotmail.com&gt;</t>
        </is>
      </c>
      <c r="B449" s="6" t="inlineStr">
        <is>
          <t>alturaijilulwa@hotmail.com</t>
        </is>
      </c>
      <c r="C449" s="5" t="inlineStr"/>
      <c r="D449" s="5" t="inlineStr">
        <is>
          <t xml:space="preserve">Hello! How can we help you?  الرجاء ازاله الرقم لما فيه من معلومات خاصه و بيانات  Report لولو / قرطبه / ق 2/ ش 1/ج : 55290990 </t>
        </is>
      </c>
      <c r="E449" s="7" t="inlineStr">
        <is>
          <t>55290990</t>
        </is>
      </c>
      <c r="F449" s="5" t="inlineStr">
        <is>
          <t>لولو / قرطبه / ق 2/ ش 1/ج</t>
        </is>
      </c>
      <c r="G449" s="7" t="inlineStr">
        <is>
          <t>55290990</t>
        </is>
      </c>
    </row>
    <row r="450" ht="18" customHeight="1">
      <c r="A450" s="2">
        <f>?utf-8?B?2YXYsdmK2YUg2KfZhNi52YjYttmK?= &lt;maryomaalawadhi@icloud.com&gt;</f>
        <v/>
      </c>
      <c r="B450" s="3" t="inlineStr">
        <is>
          <t>maryomaalawadhi@icloud.com</t>
        </is>
      </c>
      <c r="C450" s="2">
        <f>?utf-8?B?2LnZgdmI2Kcg2LnZhtmI2KfZhtmKINin2YTZg9in2YXZhCDYuNin?=  =?utf-8?B?2YfYsSDYtdin2LHZhNmKINmK2YjZhdmK2YYg2KfYqtmI2KfYtdmE?=  =?utf-8?B?INmF2LnYp9mD2YUg2YjYqtiv2LLZiNmG2YTZiiDYqtmFINit2Lg=?=  =?utf-8?B?2LEg2KfZhNix2YLZhSDYqNizINmF2KfYstin2YQg2YXZiNis2Yg=?=  =?utf-8?B?2K8g2YPYsNin2YTZgyDYsdmC2YXZiiDYp9mE2YXYr9mG2Yog?=</f>
        <v/>
      </c>
      <c r="D450" s="2" t="inlineStr">
        <is>
          <t>Hello! How can we help you?  Report الاندلس ق 9 ش 6 م 148 : 90015072   Sent from my iPhone</t>
        </is>
      </c>
      <c r="E450" s="4" t="inlineStr">
        <is>
          <t>90015072</t>
        </is>
      </c>
      <c r="F450" s="2" t="inlineStr">
        <is>
          <t>الاندلس ق 9 ش 6 م 148</t>
        </is>
      </c>
      <c r="G450" s="4" t="inlineStr">
        <is>
          <t>90015072</t>
        </is>
      </c>
    </row>
    <row r="451" ht="18" customHeight="1">
      <c r="A451" s="5" t="inlineStr">
        <is>
          <t>Saleh Mishary &lt;salehmishary9@gmail.com&gt;</t>
        </is>
      </c>
      <c r="B451" s="6" t="inlineStr">
        <is>
          <t>salehmishary9@gmail.com</t>
        </is>
      </c>
      <c r="C451" s="5" t="inlineStr">
        <is>
          <t>Thats not my name</t>
        </is>
      </c>
      <c r="D451" s="5" t="inlineStr">
        <is>
          <t>Hello! How can we help you?  Report بوصماخ البدري : 99963655   Sent from my iPhone</t>
        </is>
      </c>
      <c r="E451" s="7" t="inlineStr">
        <is>
          <t>99963655</t>
        </is>
      </c>
      <c r="F451" s="5" t="inlineStr">
        <is>
          <t>بوصماخ البدري</t>
        </is>
      </c>
      <c r="G451" s="7" t="inlineStr">
        <is>
          <t>99963655</t>
        </is>
      </c>
    </row>
    <row r="452" ht="18" customHeight="1">
      <c r="A452" s="2" t="inlineStr">
        <is>
          <t>Mariam Afana &lt;mariamafffff@gmail.com&gt;</t>
        </is>
      </c>
      <c r="B452" s="3" t="inlineStr">
        <is>
          <t>mariamafffff@gmail.com</t>
        </is>
      </c>
      <c r="C452" s="2" t="inlineStr"/>
      <c r="D452" s="2" t="inlineStr">
        <is>
          <t>Hello! How can we help you?  Report Bi 2 : 50958123   Sent from my iPhone</t>
        </is>
      </c>
      <c r="E452" s="4" t="inlineStr">
        <is>
          <t>50958123</t>
        </is>
      </c>
      <c r="F452" s="2" t="inlineStr">
        <is>
          <t>Bi 2</t>
        </is>
      </c>
      <c r="G452" s="4" t="inlineStr">
        <is>
          <t>50958123</t>
        </is>
      </c>
    </row>
    <row r="453" ht="18" customHeight="1">
      <c r="A453" s="5" t="inlineStr">
        <is>
          <t>Mariam Afana &lt;mariamafffff@gmail.com&gt;</t>
        </is>
      </c>
      <c r="B453" s="6" t="inlineStr">
        <is>
          <t>mariamafffff@gmail.com</t>
        </is>
      </c>
      <c r="C453" s="5" t="inlineStr"/>
      <c r="D453" s="5" t="inlineStr">
        <is>
          <t>Hello! How can we help you?  Report Bi : 66568769   Sent from my iPhone</t>
        </is>
      </c>
      <c r="E453" s="7" t="inlineStr">
        <is>
          <t>66568769</t>
        </is>
      </c>
      <c r="F453" s="5" t="inlineStr">
        <is>
          <t>Bi</t>
        </is>
      </c>
      <c r="G453" s="7" t="inlineStr">
        <is>
          <t>66568769</t>
        </is>
      </c>
    </row>
    <row r="454" ht="18" customHeight="1">
      <c r="A454" s="2" t="inlineStr">
        <is>
          <t>Mariam Afana &lt;mariamafffff@gmail.com&gt;</t>
        </is>
      </c>
      <c r="B454" s="3" t="inlineStr">
        <is>
          <t>mariamafffff@gmail.com</t>
        </is>
      </c>
      <c r="C454" s="2" t="inlineStr"/>
      <c r="D454" s="2" t="inlineStr">
        <is>
          <t>Hello! How can we help you?  Report *24.5" : 66568769   Sent from my iPhone</t>
        </is>
      </c>
      <c r="E454" s="4" t="inlineStr">
        <is>
          <t>66568769</t>
        </is>
      </c>
      <c r="F454" s="2" t="inlineStr">
        <is>
          <t>*24.5"</t>
        </is>
      </c>
      <c r="G454" s="4" t="inlineStr">
        <is>
          <t>66568769</t>
        </is>
      </c>
    </row>
    <row r="455" ht="18" customHeight="1">
      <c r="A455" s="5" t="inlineStr">
        <is>
          <t>ali k 3 &lt;alialkandari1993@gmail.com&gt;</t>
        </is>
      </c>
      <c r="B455" s="6" t="inlineStr">
        <is>
          <t>alialkandari1993@gmail.com</t>
        </is>
      </c>
      <c r="C455" s="5" t="inlineStr"/>
      <c r="D455" s="5" t="inlineStr">
        <is>
          <t>Hello! How can we help you?  Report ال بوحسن علي الكندري امام الطريجي الزهرا : 94419841   Sent from my iPhone</t>
        </is>
      </c>
      <c r="E455" s="7" t="inlineStr">
        <is>
          <t>94419841</t>
        </is>
      </c>
      <c r="F455" s="5" t="inlineStr">
        <is>
          <t>ال بوحسن علي الكندري امام الطريجي الزهرا</t>
        </is>
      </c>
      <c r="G455" s="7" t="inlineStr">
        <is>
          <t>94419841</t>
        </is>
      </c>
    </row>
    <row r="456" ht="18" customHeight="1">
      <c r="A456" s="2" t="inlineStr">
        <is>
          <t>ali k 3 &lt;alialkandari1993@gmail.com&gt;</t>
        </is>
      </c>
      <c r="B456" s="3" t="inlineStr">
        <is>
          <t>alialkandari1993@gmail.com</t>
        </is>
      </c>
      <c r="C456" s="2" t="inlineStr"/>
      <c r="D456" s="2" t="inlineStr">
        <is>
          <t>Hello! How can we help you?  Report علي الكندري امام : 94419841   Sent from my iPhone</t>
        </is>
      </c>
      <c r="E456" s="4" t="inlineStr">
        <is>
          <t>94419841</t>
        </is>
      </c>
      <c r="F456" s="2" t="inlineStr">
        <is>
          <t>علي الكندري امام</t>
        </is>
      </c>
      <c r="G456" s="4" t="inlineStr">
        <is>
          <t>94419841</t>
        </is>
      </c>
    </row>
    <row r="457" ht="18" customHeight="1">
      <c r="A457" s="5" t="inlineStr">
        <is>
          <t>Am Ah &lt;ngm150a@icloud.com&gt;</t>
        </is>
      </c>
      <c r="B457" s="6" t="inlineStr">
        <is>
          <t>ngm150a@icloud.com</t>
        </is>
      </c>
      <c r="C457" s="5">
        <f>?utf-8?B?2KfYsdis2Ygg2K3YsNmBINin2YTYp9iz2YU=?=</f>
        <v/>
      </c>
      <c r="D457" s="5" t="inlineStr">
        <is>
          <t>Hello! How can we help you?  Report 301043000587 : 51116798   ‫أُرسلت من الـ iPhone‬</t>
        </is>
      </c>
      <c r="E457" s="7" t="inlineStr">
        <is>
          <t>51116798</t>
        </is>
      </c>
      <c r="F457" s="5" t="inlineStr">
        <is>
          <t>301043000587</t>
        </is>
      </c>
      <c r="G457" s="7" t="inlineStr">
        <is>
          <t>51116798</t>
        </is>
      </c>
    </row>
    <row r="458" ht="18" customHeight="1">
      <c r="A458" s="2" t="inlineStr">
        <is>
          <t>Fahad Alenezi &lt;borattool@gmail.com&gt;</t>
        </is>
      </c>
      <c r="B458" s="3" t="inlineStr">
        <is>
          <t>borattool@gmail.com</t>
        </is>
      </c>
      <c r="C458" s="2" t="inlineStr"/>
      <c r="D458" s="2" t="inlineStr">
        <is>
          <t xml:space="preserve">Hello! How can we help you?  Report rubbish customer : 68880138   ‫أُرسلت من الـ iPhone‬ الرجاء ازالة تخزين هذا الاسم </t>
        </is>
      </c>
      <c r="E458" s="4" t="inlineStr">
        <is>
          <t>68880138</t>
        </is>
      </c>
      <c r="F458" s="2" t="inlineStr">
        <is>
          <t>rubbish customer</t>
        </is>
      </c>
      <c r="G458" s="4" t="inlineStr">
        <is>
          <t>68880138</t>
        </is>
      </c>
    </row>
    <row r="459" ht="18" customHeight="1">
      <c r="A459" s="5" t="inlineStr">
        <is>
          <t>Am Ah &lt;ngm150a@icloud.com&gt;</t>
        </is>
      </c>
      <c r="B459" s="6" t="inlineStr">
        <is>
          <t>ngm150a@icloud.com</t>
        </is>
      </c>
      <c r="C459" s="5" t="inlineStr"/>
      <c r="D459" s="5" t="inlineStr">
        <is>
          <t>Hello! How can we help you?  Report لديه عندة سد لد فn8 التوزيعه 2 قطعه قسيمه 52عايز : 51116798   ‫أُرسلت من الـ iPhone‬</t>
        </is>
      </c>
      <c r="E459" s="7" t="inlineStr">
        <is>
          <t>51116798</t>
        </is>
      </c>
      <c r="F459" s="5" t="inlineStr">
        <is>
          <t>لديه عندة سد لد فn8 التوزيعه 2 قطعه قسيمه 52عايز</t>
        </is>
      </c>
      <c r="G459" s="7" t="inlineStr">
        <is>
          <t>51116798</t>
        </is>
      </c>
    </row>
    <row r="460" ht="18" customHeight="1">
      <c r="A460" s="2" t="inlineStr">
        <is>
          <t>khlolud alalati &lt;khloludalalti@gmail.com&gt;</t>
        </is>
      </c>
      <c r="B460" s="3" t="inlineStr">
        <is>
          <t>khloludalalti@gmail.com</t>
        </is>
      </c>
      <c r="C460" s="2">
        <f>?utf-8?B?2KfZhNin2LPZhSDYutmE2Lcg2YjYutmK2LEg2YXYrdio2YjYqA==?=</f>
        <v/>
      </c>
      <c r="D460" s="2" t="inlineStr">
        <is>
          <t>Hello! How can we help you?  Report زلط محمد : 55839168   ‫أُرسلت من الـ iPhone‬</t>
        </is>
      </c>
      <c r="E460" s="4" t="inlineStr">
        <is>
          <t>55839168</t>
        </is>
      </c>
      <c r="F460" s="2" t="inlineStr">
        <is>
          <t>زلط محمد</t>
        </is>
      </c>
      <c r="G460" s="4" t="inlineStr">
        <is>
          <t>55839168</t>
        </is>
      </c>
    </row>
    <row r="461" ht="18" customHeight="1">
      <c r="A461" s="5" t="inlineStr">
        <is>
          <t>khlolud alalati &lt;khloludalalti@gmail.com&gt;</t>
        </is>
      </c>
      <c r="B461" s="6" t="inlineStr">
        <is>
          <t>khloludalalti@gmail.com</t>
        </is>
      </c>
      <c r="C461" s="5">
        <f>?utf-8?B?2KfZhNin2LPZhSDYutmE2Lcg2YjYutmK2LEg2YXYrdio2YjYqA==?=</f>
        <v/>
      </c>
      <c r="D461" s="5" t="inlineStr">
        <is>
          <t>Hello! How can we help you?  Report الخدامه- : 55839168   ‫أُرسلت من الـ iPhone‬</t>
        </is>
      </c>
      <c r="E461" s="7" t="inlineStr">
        <is>
          <t>55839168</t>
        </is>
      </c>
      <c r="F461" s="5" t="inlineStr">
        <is>
          <t>الخدامه-</t>
        </is>
      </c>
      <c r="G461" s="7" t="inlineStr">
        <is>
          <t>55839168</t>
        </is>
      </c>
    </row>
    <row r="462" ht="18" customHeight="1">
      <c r="A462" s="2" t="inlineStr">
        <is>
          <t>khlolud alalati &lt;khloludalalti@gmail.com&gt;</t>
        </is>
      </c>
      <c r="B462" s="3" t="inlineStr">
        <is>
          <t>khloludalalti@gmail.com</t>
        </is>
      </c>
      <c r="C462" s="2">
        <f>?utf-8?B?2KfZhNin2LPZhSDYutmE2Lcg2YjYutmK2LEg2YXYrdio2YjYqA==?=</f>
        <v/>
      </c>
      <c r="D462" s="2" t="inlineStr">
        <is>
          <t>Hello! How can we help you?  Report حليمه : 55839168   ‫أُرسلت من الـ iPhone‬</t>
        </is>
      </c>
      <c r="E462" s="4" t="inlineStr">
        <is>
          <t>55839168</t>
        </is>
      </c>
      <c r="F462" s="2" t="inlineStr">
        <is>
          <t>حليمه</t>
        </is>
      </c>
      <c r="G462" s="4" t="inlineStr">
        <is>
          <t>55839168</t>
        </is>
      </c>
    </row>
    <row r="463" ht="18" customHeight="1">
      <c r="A463" s="5" t="inlineStr">
        <is>
          <t>ghadeer ali &lt;ghadeer480@gmail.com&gt;</t>
        </is>
      </c>
      <c r="B463" s="6" t="inlineStr">
        <is>
          <t>ghadeer480@gmail.com</t>
        </is>
      </c>
      <c r="C463" s="5">
        <f>?utf-8?B?2LrZhNi3INio2KfZhNin2LPZhQ==?=</f>
        <v/>
      </c>
      <c r="D463" s="5" t="inlineStr">
        <is>
          <t>Hello! How can we help you?  Report سياره حمراءء بالعماره : 60307815   ‫أُرسلت من الـ iPhone‬</t>
        </is>
      </c>
      <c r="E463" s="7" t="inlineStr">
        <is>
          <t>60307815</t>
        </is>
      </c>
      <c r="F463" s="5" t="inlineStr">
        <is>
          <t>سياره حمراءء بالعماره</t>
        </is>
      </c>
      <c r="G463" s="7" t="inlineStr">
        <is>
          <t>60307815</t>
        </is>
      </c>
    </row>
    <row r="464" ht="18" customHeight="1">
      <c r="A464" s="2" t="inlineStr">
        <is>
          <t>ghadeer ali &lt;ghadeer480@gmail.com&gt;</t>
        </is>
      </c>
      <c r="B464" s="3" t="inlineStr">
        <is>
          <t>ghadeer480@gmail.com</t>
        </is>
      </c>
      <c r="C464" s="2">
        <f>?utf-8?B?2KfZhNin2LPZhSDYrti32Kc=?=</f>
        <v/>
      </c>
      <c r="D464" s="2" t="inlineStr">
        <is>
          <t>Hello! How can we help you?  Report ابو محمد مصري مدرس م شقه ابو حليفه : 60307815   ‫أُرسلت من الـ iPhone‬</t>
        </is>
      </c>
      <c r="E464" s="4" t="inlineStr">
        <is>
          <t>60307815</t>
        </is>
      </c>
      <c r="F464" s="2" t="inlineStr">
        <is>
          <t>ابو محمد مصري مدرس م شقه ابو حليفه</t>
        </is>
      </c>
      <c r="G464" s="4" t="inlineStr">
        <is>
          <t>60307815</t>
        </is>
      </c>
    </row>
    <row r="465" ht="18" customHeight="1">
      <c r="A465" s="5">
        <f>?utf-8?B?2LnYqNiv2KfZhNmE2Ycg2KfZhNi52YbYstmK?= &lt;aa.b.aq8@gmail.com&gt;</f>
        <v/>
      </c>
      <c r="B465" s="6" t="inlineStr">
        <is>
          <t>aa.b.aq8@gmail.com</t>
        </is>
      </c>
      <c r="C465" s="5">
        <f>?utf-8?Q?=D8=A7=D8=B1=D8=AC=D9=88_=D9=85=D8=B3=D8=AD_=D8=B1?=  =?utf-8?Q?=D9=82=D9=85=D9=8A_=D9=85=D9=86_=D9=85=D9=86=D9=88_?=  =?utf-8?Q?=D8=AF=D8=A7=D9=82_66057911?=</f>
        <v/>
      </c>
      <c r="D465" s="5" t="inlineStr">
        <is>
          <t>Hello! How can we help you?  Report شش : 66057911   ‫أُرسلت من الـ iPhone‬</t>
        </is>
      </c>
      <c r="E465" s="7" t="inlineStr">
        <is>
          <t>66057911</t>
        </is>
      </c>
      <c r="F465" s="5" t="inlineStr">
        <is>
          <t>شش</t>
        </is>
      </c>
      <c r="G465" s="7" t="inlineStr">
        <is>
          <t>66057911</t>
        </is>
      </c>
    </row>
    <row r="466" ht="18" customHeight="1">
      <c r="A466" s="2" t="inlineStr">
        <is>
          <t>Monaa Albouali &lt;monaalbouali@icloud.com&gt;</t>
        </is>
      </c>
      <c r="B466" s="3" t="inlineStr">
        <is>
          <t>monaalbouali@icloud.com</t>
        </is>
      </c>
      <c r="C466" s="2" t="inlineStr">
        <is>
          <t xml:space="preserve">Remove </t>
        </is>
      </c>
      <c r="D466" s="2" t="inlineStr">
        <is>
          <t>Hello! How can we help you?  Report منى الايرانيه : 55880645  Hii team,  I would like to remove only this one from the search as it’s contain personal information about me.  Thank you   Sent from my iPhone</t>
        </is>
      </c>
      <c r="E466" s="4" t="inlineStr">
        <is>
          <t>55880645</t>
        </is>
      </c>
      <c r="F466" s="2" t="inlineStr">
        <is>
          <t>منى الايرانيه</t>
        </is>
      </c>
      <c r="G466" s="4" t="inlineStr">
        <is>
          <t>55880645</t>
        </is>
      </c>
    </row>
    <row r="467" ht="18" customHeight="1">
      <c r="A467" s="5" t="inlineStr">
        <is>
          <t>Sara Alshammari &lt;salsh2008@icloud.com&gt;</t>
        </is>
      </c>
      <c r="B467" s="6" t="inlineStr">
        <is>
          <t>salsh2008@icloud.com</t>
        </is>
      </c>
      <c r="C467" s="5" t="inlineStr"/>
      <c r="D467" s="5" t="inlineStr">
        <is>
          <t>Hello! How can we help you?  Report منال الشمري واتس اب- : 94432236   Sent from my iPhone</t>
        </is>
      </c>
      <c r="E467" s="7" t="inlineStr">
        <is>
          <t>94432236</t>
        </is>
      </c>
      <c r="F467" s="5" t="inlineStr">
        <is>
          <t>منال الشمري واتس اب-</t>
        </is>
      </c>
      <c r="G467" s="7" t="inlineStr">
        <is>
          <t>94432236</t>
        </is>
      </c>
    </row>
    <row r="468" ht="18" customHeight="1">
      <c r="A468" s="2" t="inlineStr">
        <is>
          <t>Ahmad Al Ahmad &lt;theextraneous7@gmail.com&gt;</t>
        </is>
      </c>
      <c r="B468" s="3" t="inlineStr">
        <is>
          <t>theextraneous7@gmail.com</t>
        </is>
      </c>
      <c r="C468" s="2" t="inlineStr"/>
      <c r="D468" s="2" t="inlineStr">
        <is>
          <t xml:space="preserve">Hello! How can we help you?  Report الصچمه- : 65111510  </t>
        </is>
      </c>
      <c r="E468" s="4" t="inlineStr">
        <is>
          <t>65111510</t>
        </is>
      </c>
      <c r="F468" s="2" t="inlineStr">
        <is>
          <t>الصچمه-</t>
        </is>
      </c>
      <c r="G468" s="4" t="inlineStr">
        <is>
          <t>65111510</t>
        </is>
      </c>
    </row>
    <row r="469" ht="18" customHeight="1">
      <c r="A469" s="5" t="inlineStr">
        <is>
          <t>Faisal Saleh &lt;kw_bh19@hotmail.com&gt;</t>
        </is>
      </c>
      <c r="B469" s="6" t="inlineStr">
        <is>
          <t>kw_bh19@hotmail.com</t>
        </is>
      </c>
      <c r="C469" s="5">
        <f>?utf-8?B?2KfYsdis2Ygg2KfZhiDZitiq2YUg2K3YsNmBINin2YTYp9iz2YUg2YjYp9mE?=  =?utf-8?B?2LHZgtmFIA==?=</f>
        <v/>
      </c>
      <c r="D469" s="5" t="inlineStr">
        <is>
          <t xml:space="preserve">Hello! How can we help you?  Report فيصل صالح الغضوري جيمني : 90009035  Sent from my iPhone </t>
        </is>
      </c>
      <c r="E469" s="7" t="inlineStr">
        <is>
          <t>90009035</t>
        </is>
      </c>
      <c r="F469" s="5" t="inlineStr">
        <is>
          <t>فيصل صالح الغضوري جيمني</t>
        </is>
      </c>
      <c r="G469" s="7" t="inlineStr">
        <is>
          <t>90009035</t>
        </is>
      </c>
    </row>
    <row r="470" ht="18" customHeight="1">
      <c r="A470" s="2" t="inlineStr">
        <is>
          <t>Faisal Saleh &lt;kw_bh19@hotmail.com&gt;</t>
        </is>
      </c>
      <c r="B470" s="3" t="inlineStr">
        <is>
          <t>kw_bh19@hotmail.com</t>
        </is>
      </c>
      <c r="C470" s="2">
        <f>?utf-8?B?2KfYsdis2Ygg2KfZhiDZitiq2YUg2K3YsNmBINin2YTYp9iz2YUg2YjYp9mE?=  =?utf-8?B?2LHZgtmFINmF2YYg2KfZhNio2LHZhtin2YXYrCA=?=</f>
        <v/>
      </c>
      <c r="D470" s="2" t="inlineStr">
        <is>
          <t xml:space="preserve">Hello! How can we help you?  Report طالب بيت غرب عبد الله مبارك : 90009035  Sent from my iPhone </t>
        </is>
      </c>
      <c r="E470" s="4" t="inlineStr">
        <is>
          <t>90009035</t>
        </is>
      </c>
      <c r="F470" s="2" t="inlineStr">
        <is>
          <t>طالب بيت غرب عبد الله مبارك</t>
        </is>
      </c>
      <c r="G470" s="4" t="inlineStr">
        <is>
          <t>90009035</t>
        </is>
      </c>
    </row>
    <row r="471" ht="18" customHeight="1">
      <c r="A471" s="5" t="inlineStr">
        <is>
          <t>Kawthar Al Ali &lt;krrali_24@icloud.com&gt;</t>
        </is>
      </c>
      <c r="B471" s="6" t="inlineStr">
        <is>
          <t>krrali_24@icloud.com</t>
        </is>
      </c>
      <c r="C471" s="5">
        <f>?utf-8?B?2YrYsdis2Ykg2KfYrtmB2KfYoSDZh9iw2Kcg2KfZhNin2LPZhSA=?=  =?utf-8?B?2K3ZitirINmK2K3YqtmI2Yog2LnZhNmJINmF2LnZhNmI2YXYp9iq?=  =?utf-8?B?INiu2KfYtdipINis2K/Yp9mL?=</f>
        <v/>
      </c>
      <c r="D471" s="5" t="inlineStr">
        <is>
          <t>Hello! How can we help you?  Report العمرية ق1 ش6 م32 | : 97651243   Sent from my iPhone</t>
        </is>
      </c>
      <c r="E471" s="7" t="inlineStr">
        <is>
          <t>97651243</t>
        </is>
      </c>
      <c r="F471" s="5" t="inlineStr">
        <is>
          <t>العمرية ق1 ش6 م32 |</t>
        </is>
      </c>
      <c r="G471" s="7" t="inlineStr">
        <is>
          <t>97651243</t>
        </is>
      </c>
    </row>
    <row r="472" ht="18" customHeight="1">
      <c r="A472" s="2" t="inlineStr">
        <is>
          <t>Kawthar Al Ali &lt;krrali_24@icloud.com&gt;</t>
        </is>
      </c>
      <c r="B472" s="3" t="inlineStr">
        <is>
          <t>krrali_24@icloud.com</t>
        </is>
      </c>
      <c r="C472" s="2">
        <f>?utf-8?B?2YrYsdis2Ykg2KfYrtmB2KfYoSDZh9iw2Kcg2KfZhNin2LPZhSA=?=  =?utf-8?B?2K3ZitirINmK2K3YqtmI2Yog2LnZhNmJINmF2LnZhNmI2YXYp9iq?=  =?utf-8?B?INiu2KfYtdipINis2K/Yp9mL?=</f>
        <v/>
      </c>
      <c r="D472" s="2" t="inlineStr">
        <is>
          <t>Hello! How can we help you?  Report الفروانية ق 4 ش 118 م 2 : 97651243   Sent from my iPhone</t>
        </is>
      </c>
      <c r="E472" s="4" t="inlineStr">
        <is>
          <t>97651243</t>
        </is>
      </c>
      <c r="F472" s="2" t="inlineStr">
        <is>
          <t>الفروانية ق 4 ش 118 م 2</t>
        </is>
      </c>
      <c r="G472" s="4" t="inlineStr">
        <is>
          <t>97651243</t>
        </is>
      </c>
    </row>
    <row r="473" ht="18" customHeight="1">
      <c r="A473" s="5">
        <f>?utf-8?B?2YfYr9mK2YQg2KfZhNi02YXYsdmK?= &lt;hadeel2413@gmail.com&gt;</f>
        <v/>
      </c>
      <c r="B473" s="6" t="inlineStr">
        <is>
          <t>hadeel2413@gmail.com</t>
        </is>
      </c>
      <c r="C473" s="5" t="inlineStr"/>
      <c r="D473" s="5" t="inlineStr">
        <is>
          <t>Hello! How can we help you?  Report هوووبي- : 99892911   ‫أُرسلت من الـ iPhone‬</t>
        </is>
      </c>
      <c r="E473" s="7" t="inlineStr">
        <is>
          <t>99892911</t>
        </is>
      </c>
      <c r="F473" s="5" t="inlineStr">
        <is>
          <t>هوووبي-</t>
        </is>
      </c>
      <c r="G473" s="7" t="inlineStr">
        <is>
          <t>99892911</t>
        </is>
      </c>
    </row>
    <row r="474" ht="18" customHeight="1">
      <c r="A474" s="2">
        <f>?utf-8?B?2YfYr9mK2YQg2KfZhNi02YXYsdmK?= &lt;hadeel2413@gmail.com&gt;</f>
        <v/>
      </c>
      <c r="B474" s="3" t="inlineStr">
        <is>
          <t>hadeel2413@gmail.com</t>
        </is>
      </c>
      <c r="C474" s="2" t="inlineStr"/>
      <c r="D474" s="2" t="inlineStr">
        <is>
          <t>Hello! How can we help you?  Report مشاري البكر- : 99892911   ‫أُرسلت من الـ iPhone‬</t>
        </is>
      </c>
      <c r="E474" s="4" t="inlineStr">
        <is>
          <t>99892911</t>
        </is>
      </c>
      <c r="F474" s="2" t="inlineStr">
        <is>
          <t>مشاري البكر-</t>
        </is>
      </c>
      <c r="G474" s="4" t="inlineStr">
        <is>
          <t>99892911</t>
        </is>
      </c>
    </row>
    <row r="475" ht="18" customHeight="1">
      <c r="A475" s="5" t="inlineStr">
        <is>
          <t>FAHAD &lt;bo7ammod511@gmail.com&gt;</t>
        </is>
      </c>
      <c r="B475" s="6" t="inlineStr">
        <is>
          <t>bo7ammod511@gmail.com</t>
        </is>
      </c>
      <c r="C475" s="5">
        <f>?utf-8?B?2KrYudiv2YrZhA==?=</f>
        <v/>
      </c>
      <c r="D475" s="5" t="inlineStr">
        <is>
          <t xml:space="preserve">Hello! How can we help you?  Report فهد العتيبي شرازي- : 65777708   ‫أُرسلت من الـ iPhone‬ ارجو تعديل الاسم </t>
        </is>
      </c>
      <c r="E475" s="7" t="inlineStr">
        <is>
          <t>65777708</t>
        </is>
      </c>
      <c r="F475" s="5" t="inlineStr">
        <is>
          <t>فهد العتيبي شرازي-</t>
        </is>
      </c>
      <c r="G475" s="7" t="inlineStr">
        <is>
          <t>65777708</t>
        </is>
      </c>
    </row>
    <row r="476" ht="18" customHeight="1">
      <c r="A476" s="2">
        <f>?utf-8?B?2KfZhNmA2YDZiNiq2YDZgNmK2YDZhg==?= &lt;a.al3nzyaq8@gmail.com&gt;</f>
        <v/>
      </c>
      <c r="B476" s="3" t="inlineStr">
        <is>
          <t>a.al3nzyaq8@gmail.com</t>
        </is>
      </c>
      <c r="C476" s="2">
        <f>?utf-8?Q?=D8=A7=D8=B1=D8=AC=D9=88_=D8=AD=D8=B0=D9=81_=D8=B1?=  =?utf-8?Q?=D9=82=D9=85=D9=8A_=D9=85=D9=86_=D9=85=D9=86=D9=88_?=  =?utf-8?Q?=D8=AF=D8=A7=D9=82_51471797?=</f>
        <v/>
      </c>
      <c r="D476" s="2" t="inlineStr">
        <is>
          <t>﻿ ﻿ Hello! How can we help you?  Report جديد مني 26 : 51471797   ‫أُرسلت من الـ iPhone‬</t>
        </is>
      </c>
      <c r="E476" s="4" t="inlineStr">
        <is>
          <t>51471797</t>
        </is>
      </c>
      <c r="F476" s="2" t="inlineStr">
        <is>
          <t>جديد مني 26</t>
        </is>
      </c>
      <c r="G476" s="4" t="inlineStr">
        <is>
          <t>51471797</t>
        </is>
      </c>
    </row>
    <row r="477" ht="18" customHeight="1">
      <c r="A477" s="5" t="inlineStr">
        <is>
          <t>Layal Alessa &lt;layalalessa1@gmail.com&gt;</t>
        </is>
      </c>
      <c r="B477" s="6" t="inlineStr">
        <is>
          <t>layalalessa1@gmail.com</t>
        </is>
      </c>
      <c r="C477" s="5" t="inlineStr"/>
      <c r="D477" s="5" t="inlineStr">
        <is>
          <t>Hello! How can we help you?  Report عيوزه- : 95571159   Sent from my iPhone</t>
        </is>
      </c>
      <c r="E477" s="7" t="inlineStr">
        <is>
          <t>95571159</t>
        </is>
      </c>
      <c r="F477" s="5" t="inlineStr">
        <is>
          <t>عيوزه-</t>
        </is>
      </c>
      <c r="G477" s="7" t="inlineStr">
        <is>
          <t>95571159</t>
        </is>
      </c>
    </row>
    <row r="478" ht="18" customHeight="1">
      <c r="A478" s="2">
        <f>?utf-8?B?2YXYqNin2LHZgyDYp9mE2LHYp9is2K3Zig==?= &lt;m_s_r9@hotmail.com&gt;</f>
        <v/>
      </c>
      <c r="B478" s="3" t="inlineStr">
        <is>
          <t>m_s_r9@hotmail.com</t>
        </is>
      </c>
      <c r="C478" s="2">
        <f>?utf-8?B?2K3YsNmBINin2LPZhQ==?=</f>
        <v/>
      </c>
      <c r="D478" s="2" t="inlineStr">
        <is>
          <t xml:space="preserve">Hello! How can we help you?  هذا الاسم مو اسمي ومسبب لي مشاكل اتمنى تحذفونه  Report MariamAlrshedi❤️.- : 99239919 </t>
        </is>
      </c>
      <c r="E478" s="4" t="inlineStr">
        <is>
          <t>99239919</t>
        </is>
      </c>
      <c r="F478" s="2" t="inlineStr">
        <is>
          <t>MariamAlrshedi❤️.-</t>
        </is>
      </c>
      <c r="G478" s="4" t="inlineStr">
        <is>
          <t>99239919</t>
        </is>
      </c>
    </row>
    <row r="479" ht="18" customHeight="1">
      <c r="A479" s="5" t="inlineStr">
        <is>
          <t>Enter Line &lt;enterline@hotmail.com&gt;</t>
        </is>
      </c>
      <c r="B479" s="6" t="inlineStr">
        <is>
          <t>enterline@hotmail.com</t>
        </is>
      </c>
      <c r="C479" s="5" t="inlineStr"/>
      <c r="D479" s="5" t="inlineStr">
        <is>
          <t xml:space="preserve">Hello! How can we help you?  Report خالد انتر لاين 6 : 96989653  Sent from my iPhone </t>
        </is>
      </c>
      <c r="E479" s="7" t="inlineStr">
        <is>
          <t>96989653</t>
        </is>
      </c>
      <c r="F479" s="5" t="inlineStr">
        <is>
          <t>خالد انتر لاين 6</t>
        </is>
      </c>
      <c r="G479" s="7" t="inlineStr">
        <is>
          <t>96989653</t>
        </is>
      </c>
    </row>
    <row r="480" ht="18" customHeight="1">
      <c r="A480" s="2" t="inlineStr">
        <is>
          <t>Mohamad Alosaimi &lt;gfgdtfbxgc@icloud.com&gt;</t>
        </is>
      </c>
      <c r="B480" s="3" t="inlineStr">
        <is>
          <t>gfgdtfbxgc@icloud.com</t>
        </is>
      </c>
      <c r="C480" s="2">
        <f>?utf-8?B?2YrYsdis2Ykg2KfZhNit2LDZgSA=?=</f>
        <v/>
      </c>
      <c r="D480" s="2" t="inlineStr">
        <is>
          <t>Hello! How can we help you?  Report محمد ولد اخت عمر - : 55221311   Sent from my iPhone</t>
        </is>
      </c>
      <c r="E480" s="4" t="inlineStr">
        <is>
          <t>55221311</t>
        </is>
      </c>
      <c r="F480" s="2" t="inlineStr">
        <is>
          <t>محمد ولد اخت عمر -</t>
        </is>
      </c>
      <c r="G480" s="4" t="inlineStr">
        <is>
          <t>55221311</t>
        </is>
      </c>
    </row>
    <row r="481" ht="18" customHeight="1">
      <c r="A481" s="5" t="inlineStr">
        <is>
          <t>Mohamad Alosaimi &lt;gfgdtfbxgc@icloud.com&gt;</t>
        </is>
      </c>
      <c r="B481" s="6" t="inlineStr">
        <is>
          <t>gfgdtfbxgc@icloud.com</t>
        </is>
      </c>
      <c r="C481" s="5">
        <f>?utf-8?B?2YrYsdis2Ykg2K3YsNmB2Yc=?=</f>
        <v/>
      </c>
      <c r="D481" s="5" t="inlineStr">
        <is>
          <t>Hello! How can we help you?  Report سكان ص- : 55221311   Sent from my iPhone</t>
        </is>
      </c>
      <c r="E481" s="7" t="inlineStr">
        <is>
          <t>55221311</t>
        </is>
      </c>
      <c r="F481" s="5" t="inlineStr">
        <is>
          <t>سكان ص-</t>
        </is>
      </c>
      <c r="G481" s="7" t="inlineStr">
        <is>
          <t>55221311</t>
        </is>
      </c>
    </row>
    <row r="482" ht="18" customHeight="1">
      <c r="A482" s="2" t="inlineStr">
        <is>
          <t>Doctor AlSarraf &lt;aziz_3000@icloud.com&gt;</t>
        </is>
      </c>
      <c r="B482" s="3" t="inlineStr">
        <is>
          <t>aziz_3000@icloud.com</t>
        </is>
      </c>
      <c r="C482" s="2" t="inlineStr">
        <is>
          <t>caller</t>
        </is>
      </c>
      <c r="D482" s="2" t="inlineStr">
        <is>
          <t>Hello! How can we help you?  Report احلام لاند 5 ايام بوغاتي : 50799333  please remove it from everywhere i dont want this name to show because what the hell is that name ?🥲</t>
        </is>
      </c>
      <c r="E482" s="4" t="inlineStr">
        <is>
          <t>50799333</t>
        </is>
      </c>
      <c r="F482" s="2" t="inlineStr">
        <is>
          <t>احلام لاند 5 ايام بوغاتي</t>
        </is>
      </c>
      <c r="G482" s="4" t="inlineStr">
        <is>
          <t>50799333</t>
        </is>
      </c>
    </row>
    <row r="483" ht="18" customHeight="1">
      <c r="A483" s="5" t="inlineStr">
        <is>
          <t>Lolwah Madouh &lt;tamoo-lkm@hotmail.com&gt;</t>
        </is>
      </c>
      <c r="B483" s="6" t="inlineStr">
        <is>
          <t>tamoo-lkm@hotmail.com</t>
        </is>
      </c>
      <c r="C483" s="5" t="inlineStr"/>
      <c r="D483" s="5" t="inlineStr">
        <is>
          <t xml:space="preserve">Hello! How can we help you?  Report Daiya B5 Gulf Road B2 F5 Appt 37 : 66144236  Sent from my iPhone  Please remove this name because this is my privater adress </t>
        </is>
      </c>
      <c r="E483" s="7" t="inlineStr">
        <is>
          <t>66144236</t>
        </is>
      </c>
      <c r="F483" s="5" t="inlineStr">
        <is>
          <t>Daiya B5 Gulf Road B2 F5 Appt 37</t>
        </is>
      </c>
      <c r="G483" s="7" t="inlineStr">
        <is>
          <t>66144236</t>
        </is>
      </c>
    </row>
    <row r="484" ht="18" customHeight="1">
      <c r="A484" s="2">
        <f>?utf-8?B?2YrYoti52KLYstmBINij2YTZhtii2Yog2YbYotmK2YMg2YfZiti2INis2LE=?=  =?utf-8?B?2YjZiNit2YogLQ==?= &lt;dfaz_17@hotmail.com&gt;</f>
        <v/>
      </c>
      <c r="B484" s="3" t="inlineStr">
        <is>
          <t>dfaz_17@hotmail.com</t>
        </is>
      </c>
      <c r="C484" s="2">
        <f>?utf-8?B?2KfYsdis2Ygg2K3YsNmBINin2YTYp9iz2YUg2LrZitixINmE2KfYptmCINiz?=  =?utf-8?B?2Kg=?=</f>
        <v/>
      </c>
      <c r="D484" s="2" t="inlineStr">
        <is>
          <t xml:space="preserve">Hello! How can we help you?  Report دلال العبده : 51599922  ‫أُرسلت من الـ iPhone‬ </t>
        </is>
      </c>
      <c r="E484" s="4" t="inlineStr">
        <is>
          <t>51599922</t>
        </is>
      </c>
      <c r="F484" s="2" t="inlineStr">
        <is>
          <t>دلال العبده</t>
        </is>
      </c>
      <c r="G484" s="4" t="inlineStr">
        <is>
          <t>51599922</t>
        </is>
      </c>
    </row>
    <row r="485" ht="18" customHeight="1">
      <c r="A485" s="5">
        <f>?utf-8?B?2YrYoti52KLYstmBINij2YTZhtii2Yog2YbYotmK2YMg2YfZiti2INis2LE=?=  =?utf-8?B?2YjZiNit2YogLQ==?= &lt;dfaz_17@hotmail.com&gt;</f>
        <v/>
      </c>
      <c r="B485" s="6" t="inlineStr">
        <is>
          <t>dfaz_17@hotmail.com</t>
        </is>
      </c>
      <c r="C485" s="5">
        <f>?utf-8?B?2KfYs9mFINi62YrYsSDZhNin2KbZgiDYs9io?=</f>
        <v/>
      </c>
      <c r="D485" s="5" t="inlineStr">
        <is>
          <t xml:space="preserve">Hello! How can we help you?  Report دلال العبده : 51599922  ‫أُرسلت من الـ iPhone‬ </t>
        </is>
      </c>
      <c r="E485" s="7" t="inlineStr">
        <is>
          <t>51599922</t>
        </is>
      </c>
      <c r="F485" s="5" t="inlineStr">
        <is>
          <t>دلال العبده</t>
        </is>
      </c>
      <c r="G485" s="7" t="inlineStr">
        <is>
          <t>51599922</t>
        </is>
      </c>
    </row>
    <row r="486" ht="18" customHeight="1">
      <c r="A486" s="2">
        <f>?utf-8?B?2YrYoti52KLYstmBINij2YTZhtii2Yog2YbYotmK2YMg2YfZiti2INis2LE=?=  =?utf-8?B?2YjZiNit2YogLQ==?= &lt;dfaz_17@hotmail.com&gt;</f>
        <v/>
      </c>
      <c r="B486" s="3" t="inlineStr">
        <is>
          <t>dfaz_17@hotmail.com</t>
        </is>
      </c>
      <c r="C486" s="2">
        <f>?utf-8?B?2KfYs9mFINi62YrYsSDZhNin2KbZgg==?=</f>
        <v/>
      </c>
      <c r="D486" s="2" t="inlineStr">
        <is>
          <t xml:space="preserve">Hello! How can we help you?  Report دلال العبده : 51599922  ‫أُرسلت من الـ iPhone‬ </t>
        </is>
      </c>
      <c r="E486" s="4" t="inlineStr">
        <is>
          <t>51599922</t>
        </is>
      </c>
      <c r="F486" s="2" t="inlineStr">
        <is>
          <t>دلال العبده</t>
        </is>
      </c>
      <c r="G486" s="4" t="inlineStr">
        <is>
          <t>51599922</t>
        </is>
      </c>
    </row>
    <row r="487" ht="18" customHeight="1">
      <c r="A487" s="5" t="inlineStr">
        <is>
          <t>Sara Alebrahim &lt;kuwaitpysch87@gmail.com&gt;</t>
        </is>
      </c>
      <c r="B487" s="6" t="inlineStr">
        <is>
          <t>kuwaitpysch87@gmail.com</t>
        </is>
      </c>
      <c r="C487" s="5" t="inlineStr"/>
      <c r="D487" s="5" t="inlineStr">
        <is>
          <t>Hello! How can we help you?  Report ساره الهنديه : 55887458   Sent from my iPhone</t>
        </is>
      </c>
      <c r="E487" s="7" t="inlineStr">
        <is>
          <t>55887458</t>
        </is>
      </c>
      <c r="F487" s="5" t="inlineStr">
        <is>
          <t>ساره الهنديه</t>
        </is>
      </c>
      <c r="G487" s="7" t="inlineStr">
        <is>
          <t>55887458</t>
        </is>
      </c>
    </row>
    <row r="488" ht="18" customHeight="1">
      <c r="A488" s="2">
        <f>?utf-8?B?2LnYqNiv2KfZhNmE2Ycg2KfZhNi52YbYstmK?= &lt;aa.b.aq8@gmail.com&gt;</f>
        <v/>
      </c>
      <c r="B488" s="3" t="inlineStr">
        <is>
          <t>aa.b.aq8@gmail.com</t>
        </is>
      </c>
      <c r="C488" s="2">
        <f>?utf-8?Q?=D8=A7=D8=B1=D8=AC=D9=88_=D9=85=D8=B3=D8=AD_=D8=B1?=  =?utf-8?Q?=D9=82=D9=85=D9=8A_=D9=85=D9=86_=D9=85=D9=86=D9=88_?=  =?utf-8?Q?=D8=AF=D8=A7=D9=82_99373227?=</f>
        <v/>
      </c>
      <c r="D488" s="2" t="inlineStr">
        <is>
          <t>Hello! How can we help you?  Report Salim Jawazat : 99373227   ‫أُرسلت من الـ iPhone‬</t>
        </is>
      </c>
      <c r="E488" s="4" t="inlineStr">
        <is>
          <t>99373227</t>
        </is>
      </c>
      <c r="F488" s="2" t="inlineStr">
        <is>
          <t>Salim Jawazat</t>
        </is>
      </c>
      <c r="G488" s="4" t="inlineStr">
        <is>
          <t>99373227</t>
        </is>
      </c>
    </row>
    <row r="489" ht="18" customHeight="1">
      <c r="A489" s="5" t="inlineStr">
        <is>
          <t>"Mr. Hassan" &lt;has0n.180@gmail.com&gt;</t>
        </is>
      </c>
      <c r="B489" s="6" t="inlineStr">
        <is>
          <t>has0n.180@gmail.com</t>
        </is>
      </c>
      <c r="C489" s="5" t="inlineStr">
        <is>
          <t>Re: Private info delete asap</t>
        </is>
      </c>
      <c r="D489" s="5" t="inlineStr">
        <is>
          <t xml:space="preserve"> Sent from my iPhone  &gt; On 4 Oct 2025, at 12:24 PM, Mr. Hassan &lt;has0n.180@gmail.com&gt; wrote: &gt;  &gt; ﻿ &gt; Hello! How can we help you? &gt;  &gt; Report حسن الحداد الدسمه 3 / الرشيد / 51 ع العقيله 8 مرجع : 65000671 &gt;  &gt;  &gt; Sent from my iPhone </t>
        </is>
      </c>
      <c r="E489" s="7" t="inlineStr">
        <is>
          <t>65000671</t>
        </is>
      </c>
      <c r="F489" s="5" t="inlineStr">
        <is>
          <t>حسن الحداد الدسمه 3 / الرشيد / 51 ع العقيله 8 مرجع</t>
        </is>
      </c>
      <c r="G489" s="7" t="inlineStr">
        <is>
          <t>65000671</t>
        </is>
      </c>
    </row>
    <row r="490" ht="18" customHeight="1">
      <c r="A490" s="2" t="inlineStr">
        <is>
          <t>raniem jawish &lt;raniemjawish@hotmail.com&gt;</t>
        </is>
      </c>
      <c r="B490" s="3" t="inlineStr">
        <is>
          <t>raniemjawish@hotmail.com</t>
        </is>
      </c>
      <c r="C490" s="2" t="inlineStr"/>
      <c r="D490" s="2" t="inlineStr">
        <is>
          <t xml:space="preserve">Hello! can you remove the number and the name?  Report Raniem JAWISH : 97227280  Sent from my iPhone </t>
        </is>
      </c>
      <c r="E490" s="4" t="inlineStr">
        <is>
          <t>97227280</t>
        </is>
      </c>
      <c r="F490" s="2" t="inlineStr">
        <is>
          <t>Raniem JAWISH</t>
        </is>
      </c>
      <c r="G490" s="4" t="inlineStr">
        <is>
          <t>97227280</t>
        </is>
      </c>
    </row>
    <row r="491" ht="18" customHeight="1">
      <c r="A491" s="5">
        <f>?utf-8?B?2KfYs9iq2LrZgdixINin2YTZhNmHINin2YTYrdmF2K8g2YTZhNmH?= &lt;msharexxop@gmail.com&gt;</f>
        <v/>
      </c>
      <c r="B491" s="6" t="inlineStr">
        <is>
          <t>msharexxop@gmail.com</t>
        </is>
      </c>
      <c r="C491" s="5">
        <f>?utf-8?B?2KfZhNix2YLZhSDYsdmC2YXZiiDZhNin2YPZhiDYp9mE2YPZhNin?=  =?utf-8?B?2YUg2KfZhNmF2YjYrNmI2K8g2YrYudiq2KjYsSDYrti32KfYoSA=?=  =?utf-8?B?2YTZiiDYp9iw2Kcg2YXZhdmD2YYg2KrZhdiz2K3ZiNmGINin2YQ=?=  =?utf-8?B?2YPZhNmF2YcgKNiv2KzYp9isKSE=?=</f>
        <v/>
      </c>
      <c r="D491" s="5" t="inlineStr">
        <is>
          <t>Hello! How can we help you?  Report دجاج : 90905056   ‫أُرسلت من الـ iPhone‬</t>
        </is>
      </c>
      <c r="E491" s="7" t="inlineStr">
        <is>
          <t>90905056</t>
        </is>
      </c>
      <c r="F491" s="5" t="inlineStr">
        <is>
          <t>دجاج</t>
        </is>
      </c>
      <c r="G491" s="7" t="inlineStr">
        <is>
          <t>90905056</t>
        </is>
      </c>
    </row>
    <row r="492" ht="18" customHeight="1">
      <c r="A492" s="2" t="inlineStr">
        <is>
          <t>Saleh Alsheeha &lt;saleh.alsheeha@icloud.com&gt;</t>
        </is>
      </c>
      <c r="B492" s="3" t="inlineStr">
        <is>
          <t>saleh.alsheeha@icloud.com</t>
        </is>
      </c>
      <c r="C492" s="2" t="inlineStr">
        <is>
          <t xml:space="preserve">Important </t>
        </is>
      </c>
      <c r="D492" s="2" t="inlineStr">
        <is>
          <t xml:space="preserve">Hello! How can we help you?  Report بدهم جنوب السره 430 : 67773109  اتمى إزاله هذا الاسم لان يحتوي على مكان سكني وهوخاص فيني   </t>
        </is>
      </c>
      <c r="E492" s="4" t="inlineStr">
        <is>
          <t>67773109</t>
        </is>
      </c>
      <c r="F492" s="2" t="inlineStr">
        <is>
          <t>بدهم جنوب السره 430</t>
        </is>
      </c>
      <c r="G492" s="4" t="inlineStr">
        <is>
          <t>67773109</t>
        </is>
      </c>
    </row>
    <row r="493" ht="18" customHeight="1">
      <c r="A493" s="5" t="inlineStr">
        <is>
          <t>Abdullah ALSabti &lt;abdullah_alsabti@live.com&gt;</t>
        </is>
      </c>
      <c r="B493" s="6" t="inlineStr">
        <is>
          <t>abdullah_alsabti@live.com</t>
        </is>
      </c>
      <c r="C493" s="5" t="inlineStr">
        <is>
          <t xml:space="preserve">Report </t>
        </is>
      </c>
      <c r="D493" s="5" t="inlineStr">
        <is>
          <t xml:space="preserve">Hello! How can we help you?  Report يسوي روحه ضريف عبدالله السبتي : 60067221  هذا التعليق يتحمل اساءه Sent from my iPhone </t>
        </is>
      </c>
      <c r="E493" s="7" t="inlineStr">
        <is>
          <t>60067221</t>
        </is>
      </c>
      <c r="F493" s="5" t="inlineStr">
        <is>
          <t>يسوي روحه ضريف عبدالله السبتي</t>
        </is>
      </c>
      <c r="G493" s="7" t="inlineStr">
        <is>
          <t>60067221</t>
        </is>
      </c>
    </row>
    <row r="494" ht="18" customHeight="1">
      <c r="A494" s="2" t="inlineStr">
        <is>
          <t>Aisha Almubarak &lt;aisha.almubarak@gmail.com&gt;</t>
        </is>
      </c>
      <c r="B494" s="3" t="inlineStr">
        <is>
          <t>aisha.almubarak@gmail.com</t>
        </is>
      </c>
      <c r="C494" s="2">
        <f>?utf-8?B?2KXYqNmE2KfYuiDYudmGINin2LPZhSDZhdiz2KzZhCA=?=</f>
        <v/>
      </c>
      <c r="D494" s="2" t="inlineStr">
        <is>
          <t>Hello! How can we help you?  Report عايشة المبارك عند حمود : 99853892  هذا الاسم ليش جذي ! غلط و أدبيا ما يصير  Sent from my iPhone</t>
        </is>
      </c>
      <c r="E494" s="4" t="inlineStr">
        <is>
          <t>99853892</t>
        </is>
      </c>
      <c r="F494" s="2" t="inlineStr">
        <is>
          <t>عايشة المبارك عند حمود</t>
        </is>
      </c>
      <c r="G494" s="4" t="inlineStr">
        <is>
          <t>99853892</t>
        </is>
      </c>
    </row>
    <row r="495" ht="18" customHeight="1">
      <c r="A495" s="5" t="inlineStr">
        <is>
          <t>Abdullah Alrumaih &lt;abdullahalrumaih227@icloud.com&gt;</t>
        </is>
      </c>
      <c r="B495" s="6" t="inlineStr">
        <is>
          <t>abdullahalrumaih227@icloud.com</t>
        </is>
      </c>
      <c r="C495" s="5" t="inlineStr"/>
      <c r="D495" s="5" t="inlineStr">
        <is>
          <t>Hello! How can we help you?  Report دلال ستار ب البدع- : 65111379   Sent from my iPhone</t>
        </is>
      </c>
      <c r="E495" s="7" t="inlineStr">
        <is>
          <t>65111379</t>
        </is>
      </c>
      <c r="F495" s="5" t="inlineStr">
        <is>
          <t>دلال ستار ب البدع-</t>
        </is>
      </c>
      <c r="G495" s="7" t="inlineStr">
        <is>
          <t>65111379</t>
        </is>
      </c>
    </row>
    <row r="496" ht="18" customHeight="1">
      <c r="A496" s="2" t="inlineStr">
        <is>
          <t>Abdullah Alrumaih &lt;abdullahalrumaih227@icloud.com&gt;</t>
        </is>
      </c>
      <c r="B496" s="3" t="inlineStr">
        <is>
          <t>abdullahalrumaih227@icloud.com</t>
        </is>
      </c>
      <c r="C496" s="2" t="inlineStr"/>
      <c r="D496" s="2" t="inlineStr">
        <is>
          <t>Hello! How can we help you?  Report Abdullah Rmeh Salwa 11 : 65111379   Sent from my iPhone</t>
        </is>
      </c>
      <c r="E496" s="4" t="inlineStr">
        <is>
          <t>65111379</t>
        </is>
      </c>
      <c r="F496" s="2" t="inlineStr">
        <is>
          <t>Abdullah Rmeh Salwa 11</t>
        </is>
      </c>
      <c r="G496" s="4" t="inlineStr">
        <is>
          <t>65111379</t>
        </is>
      </c>
    </row>
    <row r="497" ht="18" customHeight="1">
      <c r="A497" s="5" t="inlineStr">
        <is>
          <t>dark dark &lt;dark600@msn.com&gt;</t>
        </is>
      </c>
      <c r="B497" s="6" t="inlineStr">
        <is>
          <t>dark600@msn.com</t>
        </is>
      </c>
      <c r="C497" s="5" t="inlineStr"/>
      <c r="D497" s="5" t="inlineStr">
        <is>
          <t xml:space="preserve">Hello! How can we help you?  Report -سعد القط : 99841133  ‫أُرسلت من الـ iPhone‬ </t>
        </is>
      </c>
      <c r="E497" s="7" t="inlineStr">
        <is>
          <t>99841133</t>
        </is>
      </c>
      <c r="F497" s="5" t="inlineStr">
        <is>
          <t>-سعد القط</t>
        </is>
      </c>
      <c r="G497" s="7" t="inlineStr">
        <is>
          <t>99841133</t>
        </is>
      </c>
    </row>
    <row r="498" ht="18" customHeight="1">
      <c r="A498" s="2" t="inlineStr">
        <is>
          <t>ABDULRAHMAN ALI &lt;alkandariimp@gmail.com&gt;</t>
        </is>
      </c>
      <c r="B498" s="3" t="inlineStr">
        <is>
          <t>alkandariimp@gmail.com</t>
        </is>
      </c>
      <c r="C498" s="2" t="inlineStr">
        <is>
          <t xml:space="preserve">Please erase this now </t>
        </is>
      </c>
      <c r="D498" s="2" t="inlineStr">
        <is>
          <t xml:space="preserve">Hello! How can we help you?  Report عبدالرحمن Ack الجابرية : 60998428   Sent from my iPhone </t>
        </is>
      </c>
      <c r="E498" s="4" t="inlineStr">
        <is>
          <t>60998428</t>
        </is>
      </c>
      <c r="F498" s="2" t="inlineStr">
        <is>
          <t>عبدالرحمن Ack الجابرية</t>
        </is>
      </c>
      <c r="G498" s="4" t="inlineStr">
        <is>
          <t>60998428</t>
        </is>
      </c>
    </row>
    <row r="499" ht="18" customHeight="1">
      <c r="A499" s="5" t="inlineStr">
        <is>
          <t>moh mah &lt;abotalebmohamed2016@gmail.com&gt;</t>
        </is>
      </c>
      <c r="B499" s="6" t="inlineStr">
        <is>
          <t>abotalebmohamed2016@gmail.com</t>
        </is>
      </c>
      <c r="C499" s="5" t="inlineStr">
        <is>
          <t>Delete</t>
        </is>
      </c>
      <c r="D499" s="5" t="inlineStr">
        <is>
          <t>Hello! How can we help you?  Report استاذ فور سييل : 50549095   ‫أُرسلت من الـ iPhone‬</t>
        </is>
      </c>
      <c r="E499" s="7" t="inlineStr">
        <is>
          <t>50549095</t>
        </is>
      </c>
      <c r="F499" s="5" t="inlineStr">
        <is>
          <t>استاذ فور سييل</t>
        </is>
      </c>
      <c r="G499" s="7" t="inlineStr">
        <is>
          <t>50549095</t>
        </is>
      </c>
    </row>
    <row r="500" ht="18" customHeight="1">
      <c r="A500" s="2" t="inlineStr">
        <is>
          <t>moh mah &lt;abotalebmohamed2016@gmail.com&gt;</t>
        </is>
      </c>
      <c r="B500" s="3" t="inlineStr">
        <is>
          <t>abotalebmohamed2016@gmail.com</t>
        </is>
      </c>
      <c r="C500" s="2" t="inlineStr">
        <is>
          <t>Delete</t>
        </is>
      </c>
      <c r="D500" s="2" t="inlineStr">
        <is>
          <t>Hello! How can we help you?  Report محمد ساكن معانا : 50549095   ‫أُرسلت من الـ iPhone‬</t>
        </is>
      </c>
      <c r="E500" s="4" t="inlineStr">
        <is>
          <t>50549095</t>
        </is>
      </c>
      <c r="F500" s="2" t="inlineStr">
        <is>
          <t>محمد ساكن معانا</t>
        </is>
      </c>
      <c r="G500" s="4" t="inlineStr">
        <is>
          <t>50549095</t>
        </is>
      </c>
    </row>
    <row r="501" ht="18" customHeight="1">
      <c r="A501" s="5" t="inlineStr">
        <is>
          <t>moh mah &lt;abotalebmohamed2016@gmail.com&gt;</t>
        </is>
      </c>
      <c r="B501" s="6" t="inlineStr">
        <is>
          <t>abotalebmohamed2016@gmail.com</t>
        </is>
      </c>
      <c r="C501" s="5">
        <f>?utf-8?Q?=D8=AD=D8=B0=D9=81__delete?=</f>
        <v/>
      </c>
      <c r="D501" s="5" t="inlineStr">
        <is>
          <t>Hello! How can we help you?  Report توتر 2 : 50549095   ‫أُرسلت من الـ iPhone‬</t>
        </is>
      </c>
      <c r="E501" s="7" t="inlineStr">
        <is>
          <t>50549095</t>
        </is>
      </c>
      <c r="F501" s="5" t="inlineStr">
        <is>
          <t>توتر 2</t>
        </is>
      </c>
      <c r="G501" s="7" t="inlineStr">
        <is>
          <t>50549095</t>
        </is>
      </c>
    </row>
    <row r="502" ht="18" customHeight="1">
      <c r="A502" s="2" t="inlineStr">
        <is>
          <t>moh mah &lt;abotalebmohamed2016@gmail.com&gt;</t>
        </is>
      </c>
      <c r="B502" s="3" t="inlineStr">
        <is>
          <t>abotalebmohamed2016@gmail.com</t>
        </is>
      </c>
      <c r="C502" s="2" t="inlineStr">
        <is>
          <t>Delete</t>
        </is>
      </c>
      <c r="D502" s="2" t="inlineStr">
        <is>
          <t>Hello! How can we help you?  Report مدرسخ : 50549095   ‫أُرسلت من الـ iPhone‬</t>
        </is>
      </c>
      <c r="E502" s="4" t="inlineStr">
        <is>
          <t>50549095</t>
        </is>
      </c>
      <c r="F502" s="2" t="inlineStr">
        <is>
          <t>مدرسخ</t>
        </is>
      </c>
      <c r="G502" s="4" t="inlineStr">
        <is>
          <t>50549095</t>
        </is>
      </c>
    </row>
    <row r="503" ht="18" customHeight="1">
      <c r="A503" s="5">
        <f>?utf-8?B?2YXYtNi52YQg2KfZhNmB2YrYtdmE?= &lt;mashail123978@gmail.com&gt;</f>
        <v/>
      </c>
      <c r="B503" s="6" t="inlineStr">
        <is>
          <t>mashail123978@gmail.com</t>
        </is>
      </c>
      <c r="C503" s="5">
        <f>?utf-8?B?2YrYttix2YbZiiDYp9mG2Kcg2LXYp9it2Kgg2YfYsNinINin2YQ=?=  =?utf-8?B?2LHZgtmFIA==?=</f>
        <v/>
      </c>
      <c r="D503" s="5" t="inlineStr">
        <is>
          <t>Hello! How can we help you?  Report 1910تاهو06من ا مام واصل500د : 97157194   ‫أُرسلت من الـ iPhone‬</t>
        </is>
      </c>
      <c r="E503" s="7" t="inlineStr">
        <is>
          <t>97157194</t>
        </is>
      </c>
      <c r="F503" s="5" t="inlineStr">
        <is>
          <t>1910تاهو06من ا مام واصل500د</t>
        </is>
      </c>
      <c r="G503" s="7" t="inlineStr">
        <is>
          <t>97157194</t>
        </is>
      </c>
    </row>
    <row r="504" ht="18" customHeight="1">
      <c r="A504" s="2">
        <f>?utf-8?B?2YXYtNi52YQg2KfZhNmB2YrYtdmE?= &lt;mashail123978@gmail.com&gt;</f>
        <v/>
      </c>
      <c r="B504" s="3" t="inlineStr">
        <is>
          <t>mashail123978@gmail.com</t>
        </is>
      </c>
      <c r="C504" s="2">
        <f>?utf-8?B?2YrYttix2YbZig==?=</f>
        <v/>
      </c>
      <c r="D504" s="2" t="inlineStr">
        <is>
          <t>Hello! How can we help you?  Report 1910تاهو06من ا مام واصل500د ز واتساب : 97157194   ‫أُرسلت من الـ iPhone‬</t>
        </is>
      </c>
      <c r="E504" s="4" t="inlineStr">
        <is>
          <t>97157194</t>
        </is>
      </c>
      <c r="F504" s="2" t="inlineStr">
        <is>
          <t>1910تاهو06من ا مام واصل500د ز واتساب</t>
        </is>
      </c>
      <c r="G504" s="4" t="inlineStr">
        <is>
          <t>97157194</t>
        </is>
      </c>
    </row>
    <row r="505" ht="18" customHeight="1">
      <c r="A505" s="5">
        <f>?utf-8?B?2YXYrdmF2K8g2KfZhNmF2LfZitix2Yo=?= &lt;mohmdalmtyry63@gmail.com&gt;</f>
        <v/>
      </c>
      <c r="B505" s="6" t="inlineStr">
        <is>
          <t>mohmdalmtyry63@gmail.com</t>
        </is>
      </c>
      <c r="C505" s="5" t="inlineStr"/>
      <c r="D505" s="5" t="inlineStr">
        <is>
          <t>Hello! How can we help you?  Report محمد أحمد محمد المطيري مستجد 2017 ريشموند : 98853225   Sent from my iPhone</t>
        </is>
      </c>
      <c r="E505" s="7" t="inlineStr">
        <is>
          <t>98853225</t>
        </is>
      </c>
      <c r="F505" s="5" t="inlineStr">
        <is>
          <t>محمد أحمد محمد المطيري مستجد 2017 ريشموند</t>
        </is>
      </c>
      <c r="G505" s="7" t="inlineStr">
        <is>
          <t>98853225</t>
        </is>
      </c>
    </row>
    <row r="506" ht="18" customHeight="1">
      <c r="A506" s="2" t="inlineStr">
        <is>
          <t>Fatema Arrfaj &lt;f6oum37@gmail.com&gt;</t>
        </is>
      </c>
      <c r="B506" s="3" t="inlineStr">
        <is>
          <t>f6oum37@gmail.com</t>
        </is>
      </c>
      <c r="C506" s="2">
        <f>?utf-8?B?2K3Ys9io2Yog2KfZhNmE2Ycg2LnZhNmK2YPZhSDYp9mE2YTZhyA=?=  =?utf-8?B?2YrZhtiq2YLZhSDZhdmG2YPZhSAhISE=?=</f>
        <v/>
      </c>
      <c r="D506" s="2" t="inlineStr">
        <is>
          <t>Hello! How can we help you?  حسبي الله عليكم الله ينتقم منكم ولا يوفقكم لا دنيا ولا قبر ولا اخره جم مره لازم ادز ايميل أقولكم مسحو الاسم يسوي مشاكل عائليه !!! أصلا بكيف منو ناشرين الأسامي اللي على رقمي !!!!!! الله ينتقم منكم انتقام عزيز مقتدر يارب حسبي الله عليكم الله لا يوفقكم !!!!   Report سنيورين لبعض : 99957988   Sent from my iPhone</t>
        </is>
      </c>
      <c r="E506" s="4" t="inlineStr">
        <is>
          <t>99957988</t>
        </is>
      </c>
      <c r="F506" s="2" t="inlineStr">
        <is>
          <t>سنيورين لبعض</t>
        </is>
      </c>
      <c r="G506" s="4" t="inlineStr">
        <is>
          <t>99957988</t>
        </is>
      </c>
    </row>
    <row r="507" ht="18" customHeight="1">
      <c r="A507" s="5" t="inlineStr">
        <is>
          <t>Jwii &lt;joooori232@gmail.com&gt;</t>
        </is>
      </c>
      <c r="B507" s="6" t="inlineStr">
        <is>
          <t>joooori232@gmail.com</t>
        </is>
      </c>
      <c r="C507" s="5">
        <f>?utf-8?Q?=D8=A8=D8=AE=D8=B5=D9=88=D8=B5_=D8=A7=D9=84=D8=A7?=  =?utf-8?Q?=D8=B3=D9=85_=D9=88=D8=A7=D9=84=D8=B1=D9=82=D9=85_abou?=  =?utf-8?Q?t_the_name_and_number_?=</f>
        <v/>
      </c>
      <c r="D507" s="5" t="inlineStr">
        <is>
          <t>Hello! How can we help you?  Report جوري عبدالرحمن : 99565445  ارجوا حذف الاسم والرقم من البرنامج Please delete this name and number  Sent from my iPhone</t>
        </is>
      </c>
      <c r="E507" s="7" t="inlineStr">
        <is>
          <t>99565445</t>
        </is>
      </c>
      <c r="F507" s="5" t="inlineStr">
        <is>
          <t>جوري عبدالرحمن</t>
        </is>
      </c>
      <c r="G507" s="7" t="inlineStr">
        <is>
          <t>99565445</t>
        </is>
      </c>
    </row>
    <row r="508" ht="18" customHeight="1">
      <c r="A508" s="2" t="inlineStr">
        <is>
          <t>Reem Alhashash &lt;a.reem.n2@gmail.com&gt;</t>
        </is>
      </c>
      <c r="B508" s="3" t="inlineStr">
        <is>
          <t>a.reem.n2@gmail.com</t>
        </is>
      </c>
      <c r="C508" s="2">
        <f>?utf-8?B?2K3YsNmB?=</f>
        <v/>
      </c>
      <c r="D508" s="2" t="inlineStr">
        <is>
          <t>Hello! How can we help you?  Report سلوى قطعه 3 شارع 2 منزل 24 الدور 3 شقة 10 : 56633303  خصوصية   ‫أُرسلت من الـ Reem</t>
        </is>
      </c>
      <c r="E508" s="4" t="inlineStr">
        <is>
          <t>56633303</t>
        </is>
      </c>
      <c r="F508" s="2" t="inlineStr">
        <is>
          <t>سلوى قطعه 3 شارع 2 منزل 24 الدور 3 شقة 10</t>
        </is>
      </c>
      <c r="G508" s="4" t="inlineStr">
        <is>
          <t>56633303</t>
        </is>
      </c>
    </row>
    <row r="509" ht="18" customHeight="1">
      <c r="A509" s="5" t="inlineStr">
        <is>
          <t>Reem Alhashash &lt;a.reem.n2@gmail.com&gt;</t>
        </is>
      </c>
      <c r="B509" s="6" t="inlineStr">
        <is>
          <t>a.reem.n2@gmail.com</t>
        </is>
      </c>
      <c r="C509" s="5">
        <f>?utf-8?B?2K3YsNmB?=</f>
        <v/>
      </c>
      <c r="D509" s="5" t="inlineStr">
        <is>
          <t>Hello! How can we help you?  Report ميرزا زياره العراق : 56633303   ‫أُرسلت من الـ Reem</t>
        </is>
      </c>
      <c r="E509" s="7" t="inlineStr">
        <is>
          <t>56633303</t>
        </is>
      </c>
      <c r="F509" s="5" t="inlineStr">
        <is>
          <t>ميرزا زياره العراق</t>
        </is>
      </c>
      <c r="G509" s="7" t="inlineStr">
        <is>
          <t>56633303</t>
        </is>
      </c>
    </row>
    <row r="510" ht="18" customHeight="1">
      <c r="A510" s="2" t="inlineStr">
        <is>
          <t>Reem Alhashash &lt;a.reem.n2@gmail.com&gt;</t>
        </is>
      </c>
      <c r="B510" s="3" t="inlineStr">
        <is>
          <t>a.reem.n2@gmail.com</t>
        </is>
      </c>
      <c r="C510" s="2">
        <f>?utf-8?B?INin2YTYrti12YjYtdmK2Kkg?=</f>
        <v/>
      </c>
      <c r="D510" s="2" t="inlineStr">
        <is>
          <t>Hello! How can we help you?  Report سلوى قطعه 3 شارع 2 منزل 24 الدور 3 شقة 10 : 56633303  حذف  ‫أُرسلت من الـ Reem</t>
        </is>
      </c>
      <c r="E510" s="4" t="inlineStr">
        <is>
          <t>56633303</t>
        </is>
      </c>
      <c r="F510" s="2" t="inlineStr">
        <is>
          <t>سلوى قطعه 3 شارع 2 منزل 24 الدور 3 شقة 10</t>
        </is>
      </c>
      <c r="G510" s="4" t="inlineStr">
        <is>
          <t>56633303</t>
        </is>
      </c>
    </row>
    <row r="511" ht="18" customHeight="1">
      <c r="A511" s="5" t="inlineStr">
        <is>
          <t>khaled al-othman &lt;divemaster_k55@hotmail.com&gt;</t>
        </is>
      </c>
      <c r="B511" s="6" t="inlineStr">
        <is>
          <t>divemaster_k55@hotmail.com</t>
        </is>
      </c>
      <c r="C511" s="5" t="inlineStr"/>
      <c r="D511" s="5" t="inlineStr">
        <is>
          <t xml:space="preserve">Hello! How can we help you?  Report خالد العثمان شلرب برمضان الشعب : 99116922  Sent from my iPhone </t>
        </is>
      </c>
      <c r="E511" s="7" t="inlineStr">
        <is>
          <t>99116922</t>
        </is>
      </c>
      <c r="F511" s="5" t="inlineStr">
        <is>
          <t>خالد العثمان شلرب برمضان الشعب</t>
        </is>
      </c>
      <c r="G511" s="7" t="inlineStr">
        <is>
          <t>99116922</t>
        </is>
      </c>
    </row>
    <row r="512" ht="18" customHeight="1">
      <c r="A512" s="2" t="inlineStr">
        <is>
          <t>Qzi _ &lt;khaled001238@gmail.com&gt;</t>
        </is>
      </c>
      <c r="B512" s="3" t="inlineStr">
        <is>
          <t>khaled001238@gmail.com</t>
        </is>
      </c>
      <c r="C512" s="2">
        <f>?utf-8?B?2KfYs9ih2Yc=?=</f>
        <v/>
      </c>
      <c r="D512" s="2" t="inlineStr">
        <is>
          <t>Hello! How can we help you? اسأءه  Report خالد الرشيدي فورتشنر عازل : 94090654   ‫أُرسلت من الـ iPhone‬</t>
        </is>
      </c>
      <c r="E512" s="4" t="inlineStr">
        <is>
          <t>94090654</t>
        </is>
      </c>
      <c r="F512" s="2" t="inlineStr">
        <is>
          <t>خالد الرشيدي فورتشنر عازل</t>
        </is>
      </c>
      <c r="G512" s="4" t="inlineStr">
        <is>
          <t>94090654</t>
        </is>
      </c>
    </row>
    <row r="513" ht="18" customHeight="1">
      <c r="A513" s="5" t="inlineStr">
        <is>
          <t>Dhari Alrumaih &lt;dharialrumaih@gmail.com&gt;</t>
        </is>
      </c>
      <c r="B513" s="6" t="inlineStr">
        <is>
          <t>dharialrumaih@gmail.com</t>
        </is>
      </c>
      <c r="C513" s="5" t="inlineStr">
        <is>
          <t xml:space="preserve">remove </t>
        </is>
      </c>
      <c r="D513" s="5" t="inlineStr">
        <is>
          <t>Hello! How can we help you?  Report صلاح متعب الرميح ضاري لسع بالنحل : 99500550   Sent from my iPhone</t>
        </is>
      </c>
      <c r="E513" s="7" t="inlineStr">
        <is>
          <t>99500550</t>
        </is>
      </c>
      <c r="F513" s="5" t="inlineStr">
        <is>
          <t>صلاح متعب الرميح ضاري لسع بالنحل</t>
        </is>
      </c>
      <c r="G513" s="7" t="inlineStr">
        <is>
          <t>99500550</t>
        </is>
      </c>
    </row>
    <row r="514" ht="18" customHeight="1">
      <c r="A514" s="2" t="inlineStr">
        <is>
          <t>Fahad Al hamadan &lt;fahadfalhamdan@gmail.com&gt;</t>
        </is>
      </c>
      <c r="B514" s="3" t="inlineStr">
        <is>
          <t>fahadfalhamdan@gmail.com</t>
        </is>
      </c>
      <c r="C514" s="2" t="inlineStr"/>
      <c r="D514" s="2" t="inlineStr">
        <is>
          <t>Hello! How can we help you?  Report فهد فراس - كشافة ملا حسن : 99316962   Sent from my iPhone</t>
        </is>
      </c>
      <c r="E514" s="4" t="inlineStr">
        <is>
          <t>99316962</t>
        </is>
      </c>
      <c r="F514" s="2" t="inlineStr">
        <is>
          <t>فهد فراس - كشافة ملا حسن</t>
        </is>
      </c>
      <c r="G514" s="4" t="inlineStr">
        <is>
          <t>99316962</t>
        </is>
      </c>
    </row>
    <row r="515" ht="18" customHeight="1">
      <c r="A515" s="5" t="inlineStr">
        <is>
          <t>Ghaida Hajer. &lt;the.headliner@hotmail.com&gt;</t>
        </is>
      </c>
      <c r="B515" s="6" t="inlineStr">
        <is>
          <t>the.headliner@hotmail.com</t>
        </is>
      </c>
      <c r="C515" s="5">
        <f>?utf-8?B?2KfZhNix2KzYp9ihINmF2LPYrSDZh9iw2Kcg2KfZhNi52YbZiNin2YY=?=</f>
        <v/>
      </c>
      <c r="D515" s="5" t="inlineStr">
        <is>
          <t xml:space="preserve">Hello! How can we help you?  Report شماغ طلب سعد العبدالله قطعه 4 : 97570081  Sent from my iPhone </t>
        </is>
      </c>
      <c r="E515" s="7" t="inlineStr">
        <is>
          <t>97570081</t>
        </is>
      </c>
      <c r="F515" s="5" t="inlineStr">
        <is>
          <t>شماغ طلب سعد العبدالله قطعه 4</t>
        </is>
      </c>
      <c r="G515" s="7" t="inlineStr">
        <is>
          <t>97570081</t>
        </is>
      </c>
    </row>
    <row r="516" ht="18" customHeight="1">
      <c r="A516" s="2" t="inlineStr">
        <is>
          <t>imenzalfani83@gmail.com</t>
        </is>
      </c>
      <c r="B516" s="3" t="inlineStr">
        <is>
          <t>imenzalfani83@gmail.com</t>
        </is>
      </c>
      <c r="C516" s="2" t="inlineStr">
        <is>
          <t xml:space="preserve">Bad name </t>
        </is>
      </c>
      <c r="D516" s="2" t="inlineStr">
        <is>
          <t>Hi   Please remove this name   Is berry bad   Report زبونه السالميه وزن 80 : 67676336   Sent from my iPhone</t>
        </is>
      </c>
      <c r="E516" s="4" t="inlineStr">
        <is>
          <t>67676336</t>
        </is>
      </c>
      <c r="F516" s="2" t="inlineStr">
        <is>
          <t>زبونه السالميه وزن 80</t>
        </is>
      </c>
      <c r="G516" s="4" t="inlineStr">
        <is>
          <t>67676336</t>
        </is>
      </c>
    </row>
    <row r="517" ht="18" customHeight="1">
      <c r="A517" s="5" t="inlineStr">
        <is>
          <t>aziz Almfreg &lt;A.Aziz02@outlook.com&gt;</t>
        </is>
      </c>
      <c r="B517" s="6" t="inlineStr">
        <is>
          <t>A.Aziz02@outlook.com</t>
        </is>
      </c>
      <c r="C517" s="5" t="inlineStr"/>
      <c r="D517" s="5" t="inlineStr">
        <is>
          <t xml:space="preserve">Hello! How can we help you?  هذا الشخص مسجل اسمي بطريقه فيها تشويه سمعه.  ارجو حجب هذا الاسم من سجلاتكم  Report عزيز هوز 1 اورال صدمني بيعرف سيمون : 69697933  Sent from my iPhone </t>
        </is>
      </c>
      <c r="E517" s="7" t="inlineStr">
        <is>
          <t>69697933</t>
        </is>
      </c>
      <c r="F517" s="5" t="inlineStr">
        <is>
          <t>عزيز هوز 1 اورال صدمني بيعرف سيمون</t>
        </is>
      </c>
      <c r="G517" s="7" t="inlineStr">
        <is>
          <t>69697933</t>
        </is>
      </c>
    </row>
    <row r="518" ht="18" customHeight="1">
      <c r="A518" s="2">
        <f>?utf-8?B?2LnYqNiv2KfZhNmE2Ycg2KfZhNiv2K7ZitmE?= &lt;aldkheel554@gmail.com&gt;</f>
        <v/>
      </c>
      <c r="B518" s="3" t="inlineStr">
        <is>
          <t>aldkheel554@gmail.com</t>
        </is>
      </c>
      <c r="C518" s="2">
        <f>?utf-8?B?2YXYudmE2YjZhdin2Kog2K7Yp9i12Ycg2KjYp9mE2KfYs9mFIA==?=</f>
        <v/>
      </c>
      <c r="D518" s="2" t="inlineStr">
        <is>
          <t>Hello! How can we help you?  Report عبدالله عادل الدخيل : 99932399   Sent from my iPhone</t>
        </is>
      </c>
      <c r="E518" s="4" t="inlineStr">
        <is>
          <t>99932399</t>
        </is>
      </c>
      <c r="F518" s="2" t="inlineStr">
        <is>
          <t>عبدالله عادل الدخيل</t>
        </is>
      </c>
      <c r="G518" s="4" t="inlineStr">
        <is>
          <t>99932399</t>
        </is>
      </c>
    </row>
    <row r="519" ht="18" customHeight="1">
      <c r="A519" s="5">
        <f>?utf-8?B?2LnYqNiv2KfZhNmE2Ycg2KfZhNiv2K7ZitmE?= &lt;aldkheel554@gmail.com&gt;</f>
        <v/>
      </c>
      <c r="B519" s="6" t="inlineStr">
        <is>
          <t>aldkheel554@gmail.com</t>
        </is>
      </c>
      <c r="C519" s="5">
        <f>?utf-8?B?2KrYqNmE2YrYuiDYudmGINin2LPYp9ih2Yc=?=</f>
        <v/>
      </c>
      <c r="D519" s="5" t="inlineStr">
        <is>
          <t>Hello! How can we help you?  Report ولد الناقة : 99932399   Sent from my iPhone</t>
        </is>
      </c>
      <c r="E519" s="7" t="inlineStr">
        <is>
          <t>99932399</t>
        </is>
      </c>
      <c r="F519" s="5" t="inlineStr">
        <is>
          <t>ولد الناقة</t>
        </is>
      </c>
      <c r="G519" s="7" t="inlineStr">
        <is>
          <t>99932399</t>
        </is>
      </c>
    </row>
    <row r="520" ht="18" customHeight="1">
      <c r="A520" s="2" t="inlineStr">
        <is>
          <t>aziz Almfreg &lt;A.Aziz02@outlook.com&gt;</t>
        </is>
      </c>
      <c r="B520" s="3" t="inlineStr">
        <is>
          <t>A.Aziz02@outlook.com</t>
        </is>
      </c>
      <c r="C520" s="2">
        <f>?utf-8?B?U2xhbmRlciDYqti02YjZitmHINiz2YXYudmH?=</f>
        <v/>
      </c>
      <c r="D520" s="2" t="inlineStr">
        <is>
          <t xml:space="preserve">Hello! How can we help you?  Report عزيز هوز 1 اورال صدمني بيعرف سيمون : 69697933  Sent from my iPhone </t>
        </is>
      </c>
      <c r="E520" s="4" t="inlineStr">
        <is>
          <t>69697933</t>
        </is>
      </c>
      <c r="F520" s="2" t="inlineStr">
        <is>
          <t>عزيز هوز 1 اورال صدمني بيعرف سيمون</t>
        </is>
      </c>
      <c r="G520" s="4" t="inlineStr">
        <is>
          <t>69697933</t>
        </is>
      </c>
    </row>
    <row r="521" ht="18" customHeight="1">
      <c r="A521" s="5" t="inlineStr">
        <is>
          <t>Abdullah &lt;lt.abdulla.alwatyan@gmail.com&gt;</t>
        </is>
      </c>
      <c r="B521" s="6" t="inlineStr">
        <is>
          <t>lt.abdulla.alwatyan@gmail.com</t>
        </is>
      </c>
      <c r="C521" s="5">
        <f>?utf-8?B?2KfYs9in2KbZhw==?=</f>
        <v/>
      </c>
      <c r="D521" s="5" t="inlineStr">
        <is>
          <t>﻿ ﻿ Hello! How can we help you?  Report عبداللة هوز 1 بيحب يمص حبووب : 50778592   Sent from my iPhone</t>
        </is>
      </c>
      <c r="E521" s="7" t="inlineStr">
        <is>
          <t>50778592</t>
        </is>
      </c>
      <c r="F521" s="5" t="inlineStr">
        <is>
          <t>عبداللة هوز 1 بيحب يمص حبووب</t>
        </is>
      </c>
      <c r="G521" s="7" t="inlineStr">
        <is>
          <t>50778592</t>
        </is>
      </c>
    </row>
    <row r="522" ht="18" customHeight="1">
      <c r="A522" s="2" t="inlineStr">
        <is>
          <t>hamad alharbiy &lt;alharrbiy88@gmail.com&gt;</t>
        </is>
      </c>
      <c r="B522" s="3" t="inlineStr">
        <is>
          <t>alharrbiy88@gmail.com</t>
        </is>
      </c>
      <c r="C522" s="2">
        <f>?utf-8?B?2YrYrNioINin2YTYutin2KEg2KfZhNin2LPZhSDZgdmI2LHYpw==?=</f>
        <v/>
      </c>
      <c r="D522" s="2" t="inlineStr">
        <is>
          <t>Hello! How can we help you?  Report روان- : 55175507    ‫أُرسلت من الـ iPhone‬</t>
        </is>
      </c>
      <c r="E522" s="4" t="inlineStr">
        <is>
          <t>55175507</t>
        </is>
      </c>
      <c r="F522" s="2" t="inlineStr">
        <is>
          <t>روان-</t>
        </is>
      </c>
      <c r="G522" s="4" t="inlineStr">
        <is>
          <t>55175507</t>
        </is>
      </c>
    </row>
    <row r="523" ht="18" customHeight="1">
      <c r="A523" s="5" t="inlineStr">
        <is>
          <t>hamad alharbiy &lt;alharrbiy88@gmail.com&gt;</t>
        </is>
      </c>
      <c r="B523" s="6" t="inlineStr">
        <is>
          <t>alharrbiy88@gmail.com</t>
        </is>
      </c>
      <c r="C523" s="5">
        <f>?utf-8?B?2KfYs9in2KHYqg==?=</f>
        <v/>
      </c>
      <c r="D523" s="5" t="inlineStr">
        <is>
          <t>Hello! How can we help you?  Report حماده )- : 55175507    ‫أُرسلت من الـ iPhone‬</t>
        </is>
      </c>
      <c r="E523" s="7" t="inlineStr">
        <is>
          <t>55175507</t>
        </is>
      </c>
      <c r="F523" s="5" t="inlineStr">
        <is>
          <t>حماده )-</t>
        </is>
      </c>
      <c r="G523" s="7" t="inlineStr">
        <is>
          <t>55175507</t>
        </is>
      </c>
    </row>
    <row r="524" ht="18" customHeight="1">
      <c r="A524" s="2" t="inlineStr">
        <is>
          <t>hamad alharbiy &lt;alharrbiy88@gmail.com&gt;</t>
        </is>
      </c>
      <c r="B524" s="3" t="inlineStr">
        <is>
          <t>alharrbiy88@gmail.com</t>
        </is>
      </c>
      <c r="C524" s="2">
        <f>?utf-8?B?2KrYtNmI2YrZhyDYp9iz2YU=?=</f>
        <v/>
      </c>
      <c r="D524" s="2" t="inlineStr">
        <is>
          <t>Hello! How can we help you?  Report حمود- : 55175507    ‫أُرسلت من الـ iPhone‬</t>
        </is>
      </c>
      <c r="E524" s="4" t="inlineStr">
        <is>
          <t>55175507</t>
        </is>
      </c>
      <c r="F524" s="2" t="inlineStr">
        <is>
          <t>حمود-</t>
        </is>
      </c>
      <c r="G524" s="4" t="inlineStr">
        <is>
          <t>55175507</t>
        </is>
      </c>
    </row>
    <row r="525" ht="18" customHeight="1">
      <c r="A525" s="5" t="inlineStr">
        <is>
          <t>saleh edrees &lt;salehedrees099@hotmail.com&gt;</t>
        </is>
      </c>
      <c r="B525" s="6" t="inlineStr">
        <is>
          <t>salehedrees099@hotmail.com</t>
        </is>
      </c>
      <c r="C525" s="5" t="inlineStr">
        <is>
          <t>Urgent delete</t>
        </is>
      </c>
      <c r="D525" s="5" t="inlineStr">
        <is>
          <t xml:space="preserve">Hello! How can we help you?  Report بيع : 60781112  Sent from my iPhone </t>
        </is>
      </c>
      <c r="E525" s="7" t="inlineStr">
        <is>
          <t>60781112</t>
        </is>
      </c>
      <c r="F525" s="5" t="inlineStr">
        <is>
          <t>بيع</t>
        </is>
      </c>
      <c r="G525" s="7" t="inlineStr">
        <is>
          <t>60781112</t>
        </is>
      </c>
    </row>
    <row r="526" ht="18" customHeight="1">
      <c r="A526" s="2" t="inlineStr">
        <is>
          <t>"Shahad H." &lt;eurydice27@icloud.com&gt;</t>
        </is>
      </c>
      <c r="B526" s="3" t="inlineStr">
        <is>
          <t>eurydice27@icloud.com</t>
        </is>
      </c>
      <c r="C526" s="2">
        <f>?utf-8?B?2YXYs9itINin2LPZhQ==?=</f>
        <v/>
      </c>
      <c r="D526" s="2" t="inlineStr">
        <is>
          <t xml:space="preserve">Hello! How can we help you?  Report شهد مسائي : 90965343  ممكن مسح هذا الاسم التابع لي  </t>
        </is>
      </c>
      <c r="E526" s="4" t="inlineStr">
        <is>
          <t>90965343</t>
        </is>
      </c>
      <c r="F526" s="2" t="inlineStr">
        <is>
          <t>شهد مسائي</t>
        </is>
      </c>
      <c r="G526" s="4" t="inlineStr">
        <is>
          <t>90965343</t>
        </is>
      </c>
    </row>
    <row r="527" ht="18" customHeight="1">
      <c r="A527" s="5" t="inlineStr">
        <is>
          <t>Mona Alkandri &lt;mona1alkandri@gmail.com&gt;</t>
        </is>
      </c>
      <c r="B527" s="6" t="inlineStr">
        <is>
          <t>mona1alkandri@gmail.com</t>
        </is>
      </c>
      <c r="C527" s="5" t="inlineStr"/>
      <c r="D527" s="5" t="inlineStr">
        <is>
          <t>Hello! How can we help you?  Report 5alty Mona : 69964900    ‫أُرسلت من الـ iPhone‬</t>
        </is>
      </c>
      <c r="E527" s="7" t="inlineStr">
        <is>
          <t>69964900</t>
        </is>
      </c>
      <c r="F527" s="5" t="inlineStr">
        <is>
          <t>5alty Mona</t>
        </is>
      </c>
      <c r="G527" s="7" t="inlineStr">
        <is>
          <t>69964900</t>
        </is>
      </c>
    </row>
    <row r="528" ht="18" customHeight="1">
      <c r="A528" s="2" t="inlineStr">
        <is>
          <t>ABDULLAH ALAJMI &lt;alajjmi@yahoo.com&gt;</t>
        </is>
      </c>
      <c r="B528" s="3" t="inlineStr">
        <is>
          <t>alajjmi@yahoo.com</t>
        </is>
      </c>
      <c r="C528" s="2" t="inlineStr">
        <is>
          <t xml:space="preserve">Re: </t>
        </is>
      </c>
      <c r="D528" s="2" t="inlineStr">
        <is>
          <t xml:space="preserve"> Sent from my iPhone  &gt; On 1 Oct 2025, at 6:27 PM, ABDULLAH ALAJMI &lt;alajjmi@yahoo.com&gt; wrote: &gt;  &gt; ﻿ &gt; Hello! How can we help you? &gt;  &gt; Report سوريا 4- : 99440225 &gt;  &gt; Please remove this? &gt;  &gt;  &gt; Sent from my iPhone </t>
        </is>
      </c>
      <c r="E528" s="4" t="inlineStr">
        <is>
          <t>99440225</t>
        </is>
      </c>
      <c r="F528" s="2" t="inlineStr">
        <is>
          <t>سوريا 4-</t>
        </is>
      </c>
      <c r="G528" s="4" t="inlineStr">
        <is>
          <t>99440225</t>
        </is>
      </c>
    </row>
    <row r="529" ht="18" customHeight="1">
      <c r="A529" s="5" t="inlineStr">
        <is>
          <t>Fahad 997 &lt;faahad9997@gmail.com&gt;</t>
        </is>
      </c>
      <c r="B529" s="6" t="inlineStr">
        <is>
          <t>faahad9997@gmail.com</t>
        </is>
      </c>
      <c r="C529" s="5">
        <f>?utf-8?B?2YXYudmE2YjZhdin2KrZiiDYp9mE2K7Yp9i12Yc=?=</f>
        <v/>
      </c>
      <c r="D529" s="5" t="inlineStr">
        <is>
          <t>Hello! How can we help you?  Report الواحة ق3ش5م61 : 50426268   ‫أُرسلت من الـ iPhone‬</t>
        </is>
      </c>
      <c r="E529" s="7" t="inlineStr">
        <is>
          <t>50426268</t>
        </is>
      </c>
      <c r="F529" s="5" t="inlineStr">
        <is>
          <t>الواحة ق3ش5م61</t>
        </is>
      </c>
      <c r="G529" s="7" t="inlineStr">
        <is>
          <t>50426268</t>
        </is>
      </c>
    </row>
    <row r="530" ht="18" customHeight="1">
      <c r="A530" s="2" t="inlineStr">
        <is>
          <t>Nour Alkhabbaz &lt;nouralkhabbaz@hotmail.com&gt;</t>
        </is>
      </c>
      <c r="B530" s="3" t="inlineStr">
        <is>
          <t>nouralkhabbaz@hotmail.com</t>
        </is>
      </c>
      <c r="C530" s="2" t="inlineStr"/>
      <c r="D530" s="2" t="inlineStr">
        <is>
          <t xml:space="preserve">Hello! How can we help you?  Report عالعدان ق6 ش10 م25 : 96966903  Sent from my iPhone </t>
        </is>
      </c>
      <c r="E530" s="4" t="inlineStr">
        <is>
          <t>96966903</t>
        </is>
      </c>
      <c r="F530" s="2" t="inlineStr">
        <is>
          <t>عالعدان ق6 ش10 م25</t>
        </is>
      </c>
      <c r="G530" s="4" t="inlineStr">
        <is>
          <t>96966903</t>
        </is>
      </c>
    </row>
    <row r="531" ht="18" customHeight="1">
      <c r="A531" s="5" t="inlineStr">
        <is>
          <t>Abdul Rahman &lt;a9999ab@hotmail.com&gt;</t>
        </is>
      </c>
      <c r="B531" s="6" t="inlineStr">
        <is>
          <t>a9999ab@hotmail.com</t>
        </is>
      </c>
      <c r="C531" s="5">
        <f>?utf-8?B?2YrYsdis2Ykg2K3YsNmBINin2YTYp9iz2YUgKCDZhNinICkg?=</f>
        <v/>
      </c>
      <c r="D531" s="5" t="inlineStr">
        <is>
          <t xml:space="preserve">Hello! How can we help you?  Report لا : 55022857  يرجى حذف الاسم ( لا )   وشكراً </t>
        </is>
      </c>
      <c r="E531" s="7" t="inlineStr">
        <is>
          <t>55022857</t>
        </is>
      </c>
      <c r="F531" s="5" t="inlineStr">
        <is>
          <t>لا</t>
        </is>
      </c>
      <c r="G531" s="7" t="inlineStr">
        <is>
          <t>55022857</t>
        </is>
      </c>
    </row>
    <row r="532" ht="18" customHeight="1">
      <c r="A532" s="2" t="inlineStr">
        <is>
          <t>Wajd Ali &lt;wajdcfc@gmail.com&gt;</t>
        </is>
      </c>
      <c r="B532" s="3" t="inlineStr">
        <is>
          <t>wajdcfc@gmail.com</t>
        </is>
      </c>
      <c r="C532" s="2">
        <f>?utf-8?B?2YXYudmE2YjZhdin2Kog2YXYutmE2YjYt9mHINi52YYg2YfYsNin?=  =?utf-8?B?INin2YTYsdmC2YU=?=</f>
        <v/>
      </c>
      <c r="D532" s="2" t="inlineStr">
        <is>
          <t>Hello! How can we help you?  Report الفردوس ق1 : 66707117   Sent from my iPhone</t>
        </is>
      </c>
      <c r="E532" s="4" t="inlineStr">
        <is>
          <t>66707117</t>
        </is>
      </c>
      <c r="F532" s="2" t="inlineStr">
        <is>
          <t>الفردوس ق1</t>
        </is>
      </c>
      <c r="G532" s="4" t="inlineStr">
        <is>
          <t>66707117</t>
        </is>
      </c>
    </row>
    <row r="533" ht="18" customHeight="1">
      <c r="A533" s="5" t="inlineStr">
        <is>
          <t>Wajd Ali &lt;wajdcfc@gmail.com&gt;</t>
        </is>
      </c>
      <c r="B533" s="6" t="inlineStr">
        <is>
          <t>wajdcfc@gmail.com</t>
        </is>
      </c>
      <c r="C533" s="5" t="inlineStr"/>
      <c r="D533" s="5" t="inlineStr">
        <is>
          <t>Hello! How can we help you?  Report وجد الفردوس ق1 جا 8 م48 : 66707117   Sent from my iPhone معلومات خاطئه مكتوبه اتمنى ازالته</t>
        </is>
      </c>
      <c r="E533" s="7" t="inlineStr">
        <is>
          <t>66707117</t>
        </is>
      </c>
      <c r="F533" s="5" t="inlineStr">
        <is>
          <t>وجد الفردوس ق1 جا 8 م48</t>
        </is>
      </c>
      <c r="G533" s="7" t="inlineStr">
        <is>
          <t>66707117</t>
        </is>
      </c>
    </row>
    <row r="534" ht="18" customHeight="1">
      <c r="A534" s="2">
        <f>?utf-8?B?2LPYp9ix2Ycg2KfZhNmF2LfZitix2Yo=?= &lt;salmutiri78787@gmail.com&gt;</f>
        <v/>
      </c>
      <c r="B534" s="3" t="inlineStr">
        <is>
          <t>salmutiri78787@gmail.com</t>
        </is>
      </c>
      <c r="C534" s="2">
        <f>?utf-8?B?2KfZhNix2KzYp9ihINit2LDZgSDYp9mE2LnZhtmI2KfZhtmGLiA=?=</f>
        <v/>
      </c>
      <c r="D534" s="2" t="inlineStr">
        <is>
          <t>Hello! How can we help you? Please remove address   Report جابر الاحمد ق7 ش 710 م793 : 51174193   ‫أُرسلت من الـ iPhone‬</t>
        </is>
      </c>
      <c r="E534" s="4" t="inlineStr">
        <is>
          <t>51174193</t>
        </is>
      </c>
      <c r="F534" s="2" t="inlineStr">
        <is>
          <t>جابر الاحمد ق7 ش 710 م793</t>
        </is>
      </c>
      <c r="G534" s="4" t="inlineStr">
        <is>
          <t>51174193</t>
        </is>
      </c>
    </row>
    <row r="535" ht="18" customHeight="1">
      <c r="A535" s="5" t="inlineStr">
        <is>
          <t>mohammed bohasan &lt;mbohasan90@gmail.com&gt;</t>
        </is>
      </c>
      <c r="B535" s="6" t="inlineStr">
        <is>
          <t>mbohasan90@gmail.com</t>
        </is>
      </c>
      <c r="C535" s="5">
        <f>?utf-8?B?2KfZhtinINi12KfYrdioINmH2LDYpyDYp9mE2LHZgtmFIA==?=</f>
        <v/>
      </c>
      <c r="D535" s="5" t="inlineStr">
        <is>
          <t>Hello! How can we help you?  i am this number please remove the name this name my family and private    انا صاحب هذا الرقم وهذا الاسم لايجوز بالناس معرفته لانه به اسامي اهلي   Report محمد (عايشة) : 55459095   Sent from my iPhone</t>
        </is>
      </c>
      <c r="E535" s="7" t="inlineStr">
        <is>
          <t>55459095</t>
        </is>
      </c>
      <c r="F535" s="5" t="inlineStr">
        <is>
          <t>محمد (عايشة)</t>
        </is>
      </c>
      <c r="G535" s="7" t="inlineStr">
        <is>
          <t>55459095</t>
        </is>
      </c>
    </row>
    <row r="536" ht="18" customHeight="1">
      <c r="A536" s="2" t="inlineStr">
        <is>
          <t>MR.Nasser ALFazeer &lt;nasser_alfazeer@hotmail.com&gt;</t>
        </is>
      </c>
      <c r="B536" s="3" t="inlineStr">
        <is>
          <t>nasser_alfazeer@hotmail.com</t>
        </is>
      </c>
      <c r="C536" s="2">
        <f>?utf-8?B?2KfZhNix2KzYp9ihINin2YTZhdiz2K0=?=</f>
        <v/>
      </c>
      <c r="D536" s="2" t="inlineStr">
        <is>
          <t xml:space="preserve">Hello! How can we help you?  Report ناصر العازمي كاديلاك Ct6 : 50744993  mr. nasser alfazeer </t>
        </is>
      </c>
      <c r="E536" s="4" t="inlineStr">
        <is>
          <t>50744993</t>
        </is>
      </c>
      <c r="F536" s="2" t="inlineStr">
        <is>
          <t>ناصر العازمي كاديلاك Ct6</t>
        </is>
      </c>
      <c r="G536" s="4" t="inlineStr">
        <is>
          <t>50744993</t>
        </is>
      </c>
    </row>
    <row r="537" ht="18" customHeight="1">
      <c r="A537" s="5" t="inlineStr">
        <is>
          <t>MR.Nasser ALFazeer &lt;nasser_alfazeer@hotmail.com&gt;</t>
        </is>
      </c>
      <c r="B537" s="6" t="inlineStr">
        <is>
          <t>nasser_alfazeer@hotmail.com</t>
        </is>
      </c>
      <c r="C537" s="5">
        <f>?utf-8?B?2KfZhNix2KzYp9ihINmF2LPYrSDYp9mE2LnZhtmI2KfZhg==?=</f>
        <v/>
      </c>
      <c r="D537" s="5" t="inlineStr">
        <is>
          <t xml:space="preserve">Hello! How can we help you?  Report المطلاع N4رقم224سد ابو بدر : 50744993  mr. nasser alfazeer </t>
        </is>
      </c>
      <c r="E537" s="7" t="inlineStr">
        <is>
          <t>50744993</t>
        </is>
      </c>
      <c r="F537" s="5" t="inlineStr">
        <is>
          <t>المطلاع N4رقم224سد ابو بدر</t>
        </is>
      </c>
      <c r="G537" s="7" t="inlineStr">
        <is>
          <t>50744993</t>
        </is>
      </c>
    </row>
    <row r="538" ht="18" customHeight="1">
      <c r="A538" s="2" t="inlineStr">
        <is>
          <t>Khalid hajri &lt;khalidalhajri661@gmail.com&gt;</t>
        </is>
      </c>
      <c r="B538" s="3" t="inlineStr">
        <is>
          <t>khalidalhajri661@gmail.com</t>
        </is>
      </c>
      <c r="C538" s="2" t="inlineStr"/>
      <c r="D538" s="2" t="inlineStr">
        <is>
          <t>Hello! How can we help you?  Report 3aha : 97400046   Sent from my iPhone</t>
        </is>
      </c>
      <c r="E538" s="4" t="inlineStr">
        <is>
          <t>97400046</t>
        </is>
      </c>
      <c r="F538" s="2" t="inlineStr">
        <is>
          <t>3aha</t>
        </is>
      </c>
      <c r="G538" s="4" t="inlineStr">
        <is>
          <t>97400046</t>
        </is>
      </c>
    </row>
    <row r="539" ht="18" customHeight="1">
      <c r="A539" s="5" t="inlineStr">
        <is>
          <t>Khalid hajri &lt;khalidalhajri661@gmail.com&gt;</t>
        </is>
      </c>
      <c r="B539" s="6" t="inlineStr">
        <is>
          <t>khalidalhajri661@gmail.com</t>
        </is>
      </c>
      <c r="C539" s="5" t="inlineStr"/>
      <c r="D539" s="5" t="inlineStr">
        <is>
          <t>Hello! How can we help you?  Report Khalid K. $ : 97400046   Sent from my iPhone</t>
        </is>
      </c>
      <c r="E539" s="7" t="inlineStr">
        <is>
          <t>97400046</t>
        </is>
      </c>
      <c r="F539" s="5" t="inlineStr">
        <is>
          <t>Khalid K. $</t>
        </is>
      </c>
      <c r="G539" s="7" t="inlineStr">
        <is>
          <t>97400046</t>
        </is>
      </c>
    </row>
    <row r="540" ht="18" customHeight="1">
      <c r="A540" s="2" t="inlineStr">
        <is>
          <t>Khalid hajri &lt;khalidalhajri661@gmail.com&gt;</t>
        </is>
      </c>
      <c r="B540" s="3" t="inlineStr">
        <is>
          <t>khalidalhajri661@gmail.com</t>
        </is>
      </c>
      <c r="C540" s="2" t="inlineStr"/>
      <c r="D540" s="2" t="inlineStr">
        <is>
          <t>Hello! How can we help you?  Report k $$$ $$$ : 97400046   Sent from my iPhone</t>
        </is>
      </c>
      <c r="E540" s="4" t="inlineStr">
        <is>
          <t>97400046</t>
        </is>
      </c>
      <c r="F540" s="2" t="inlineStr">
        <is>
          <t>k $$$ $$$</t>
        </is>
      </c>
      <c r="G540" s="4" t="inlineStr">
        <is>
          <t>97400046</t>
        </is>
      </c>
    </row>
    <row r="541" ht="18" customHeight="1">
      <c r="A541" s="5" t="inlineStr">
        <is>
          <t>Khalid hajri &lt;khalidalhajri661@gmail.com&gt;</t>
        </is>
      </c>
      <c r="B541" s="6" t="inlineStr">
        <is>
          <t>khalidalhajri661@gmail.com</t>
        </is>
      </c>
      <c r="C541" s="5" t="inlineStr"/>
      <c r="D541" s="5" t="inlineStr">
        <is>
          <t>Hello! How can we help you?  Report Khalid K.$ : 97400046   Sent from my iPhone</t>
        </is>
      </c>
      <c r="E541" s="7" t="inlineStr">
        <is>
          <t>97400046</t>
        </is>
      </c>
      <c r="F541" s="5" t="inlineStr">
        <is>
          <t>Khalid K.$</t>
        </is>
      </c>
      <c r="G541" s="7" t="inlineStr">
        <is>
          <t>97400046</t>
        </is>
      </c>
    </row>
    <row r="542" ht="18" customHeight="1">
      <c r="A542" s="2">
        <f>?utf-8?B?2LrYp9mE2Kgg2KfZhNmF2LfZitix2Yo=?= &lt;gfelmutairii@icloud.com&gt;</f>
        <v/>
      </c>
      <c r="B542" s="3" t="inlineStr">
        <is>
          <t>gfelmutairii@icloud.com</t>
        </is>
      </c>
      <c r="C542" s="2">
        <f>?utf-8?B?2YrYrdiq2YjZiiDYudmE2Ykg2YXYudmE2YjZhdin2Kog2LTYrti1?=  =?utf-8?B?2YrZhyDYrtin2LXZhw==?=</f>
        <v/>
      </c>
      <c r="D542" s="2" t="inlineStr">
        <is>
          <t>ارجو ازاله هذا العنوان    Hello! How can we help you?  Report زبون ج ق4 بيوت الحكومة : 51710065   Sent from my iPhone</t>
        </is>
      </c>
      <c r="E542" s="4" t="inlineStr">
        <is>
          <t>51710065</t>
        </is>
      </c>
      <c r="F542" s="2" t="inlineStr">
        <is>
          <t>زبون ج ق4 بيوت الحكومة</t>
        </is>
      </c>
      <c r="G542" s="4" t="inlineStr">
        <is>
          <t>51710065</t>
        </is>
      </c>
    </row>
    <row r="543" ht="18" customHeight="1">
      <c r="A543" s="5">
        <f>?utf-8?B?2LbYp9mF2LEg2KfZhNi22KfZhdix?= &lt;dhameraldhamer@gmail.com&gt;</f>
        <v/>
      </c>
      <c r="B543" s="6" t="inlineStr">
        <is>
          <t>dhameraldhamer@gmail.com</t>
        </is>
      </c>
      <c r="C543" s="5" t="inlineStr">
        <is>
          <t>?</t>
        </is>
      </c>
      <c r="D543" s="5" t="inlineStr">
        <is>
          <t>Hello! How can we help you?  Report شارجر : 99519090   ‫أُرسلت من الـ iPhone‬</t>
        </is>
      </c>
      <c r="E543" s="7" t="inlineStr">
        <is>
          <t>99519090</t>
        </is>
      </c>
      <c r="F543" s="5" t="inlineStr">
        <is>
          <t>شارجر</t>
        </is>
      </c>
      <c r="G543" s="7" t="inlineStr">
        <is>
          <t>99519090</t>
        </is>
      </c>
    </row>
    <row r="544" ht="18" customHeight="1">
      <c r="A544" s="2" t="inlineStr">
        <is>
          <t>beedoo.86@icloud.com</t>
        </is>
      </c>
      <c r="B544" s="3" t="inlineStr">
        <is>
          <t>beedoo.86@icloud.com</t>
        </is>
      </c>
      <c r="C544" s="2">
        <f>?utf-8?B?2KfZhNmG2KfYsyDYudix2YHZiCDYp9mE2LnZhtmI2KfZhiDYp9mE?=  =?utf-8?B?2K7Yp9i1INio2Yo=?=</f>
        <v/>
      </c>
      <c r="D544" s="2" t="inlineStr">
        <is>
          <t>Hello! How can we help you?  Report عيون4ش7م47 : 97798986   Sent from my iPhone</t>
        </is>
      </c>
      <c r="E544" s="4" t="inlineStr">
        <is>
          <t>97798986</t>
        </is>
      </c>
      <c r="F544" s="2" t="inlineStr">
        <is>
          <t>عيون4ش7م47</t>
        </is>
      </c>
      <c r="G544" s="4" t="inlineStr">
        <is>
          <t>97798986</t>
        </is>
      </c>
    </row>
    <row r="545" ht="18" customHeight="1">
      <c r="A545" s="5" t="inlineStr">
        <is>
          <t>khaled Albisher &lt;khaled132002@gmail.com&gt;</t>
        </is>
      </c>
      <c r="B545" s="6" t="inlineStr">
        <is>
          <t>khaled132002@gmail.com</t>
        </is>
      </c>
      <c r="C545" s="5">
        <f>?utf-8?B?2YPYp9iq2Kgg2LnZhtmI2KfZhiDYqNmK2KrZig==?=</f>
        <v/>
      </c>
      <c r="D545" s="5" t="inlineStr">
        <is>
          <t>Hello! How can we help you?  Report ابو بشر العدان ق7 ش2 م56 : 69679797   Sent from my iPhone</t>
        </is>
      </c>
      <c r="E545" s="7" t="inlineStr">
        <is>
          <t>69679797</t>
        </is>
      </c>
      <c r="F545" s="5" t="inlineStr">
        <is>
          <t>ابو بشر العدان ق7 ش2 م56</t>
        </is>
      </c>
      <c r="G545" s="7" t="inlineStr">
        <is>
          <t>69679797</t>
        </is>
      </c>
    </row>
    <row r="546" ht="18" customHeight="1">
      <c r="A546" s="2" t="inlineStr">
        <is>
          <t>retaj q8 &lt;retajq19@gmail.com&gt;</t>
        </is>
      </c>
      <c r="B546" s="3" t="inlineStr">
        <is>
          <t>retajq19@gmail.com</t>
        </is>
      </c>
      <c r="C546" s="2" t="inlineStr">
        <is>
          <t xml:space="preserve">Remove it argent </t>
        </is>
      </c>
      <c r="D546" s="2" t="inlineStr">
        <is>
          <t xml:space="preserve">Hello! How can we help you?  Report ز الشهداء ق 3 ش 311 م 4 : 96951085  الرجاء امسح لان مكتوب عنوان المنزل  </t>
        </is>
      </c>
      <c r="E546" s="4" t="inlineStr">
        <is>
          <t>96951085</t>
        </is>
      </c>
      <c r="F546" s="2" t="inlineStr">
        <is>
          <t>ز الشهداء ق 3 ش 311 م 4</t>
        </is>
      </c>
      <c r="G546" s="4" t="inlineStr">
        <is>
          <t>96951085</t>
        </is>
      </c>
    </row>
    <row r="547" ht="18" customHeight="1">
      <c r="A547" s="5" t="inlineStr">
        <is>
          <t>Norah Alsalem &lt;alsalem67@outlook.com&gt;</t>
        </is>
      </c>
      <c r="B547" s="6" t="inlineStr">
        <is>
          <t>alsalem67@outlook.com</t>
        </is>
      </c>
      <c r="C547" s="5">
        <f>?utf-8?B?2KfZhNix2KzYp9ihINit2LDZgSDYqNmK2KfZhtin2Kog2KfZhNix2YLZhQ==?=</f>
        <v/>
      </c>
      <c r="D547" s="5" t="inlineStr">
        <is>
          <t xml:space="preserve">Hello! How can we help you?  Report نوره جابر : 99165763  Sent from my iPhone </t>
        </is>
      </c>
      <c r="E547" s="7" t="inlineStr">
        <is>
          <t>99165763</t>
        </is>
      </c>
      <c r="F547" s="5" t="inlineStr">
        <is>
          <t>نوره جابر</t>
        </is>
      </c>
      <c r="G547" s="7" t="inlineStr">
        <is>
          <t>99165763</t>
        </is>
      </c>
    </row>
    <row r="548" ht="18" customHeight="1">
      <c r="A548" s="2" t="inlineStr">
        <is>
          <t>Nora Alsh &lt;nono_jojo_7@icloud.com&gt;</t>
        </is>
      </c>
      <c r="B548" s="3" t="inlineStr">
        <is>
          <t>nono_jojo_7@icloud.com</t>
        </is>
      </c>
      <c r="C548" s="2">
        <f>?utf-8?B?2KfZhNix2KzYp9ihINit2LDZgSDYqNmK2KfZhtin2Kog2KfZhNix?=  =?utf-8?B?2YLZhQ==?=</f>
        <v/>
      </c>
      <c r="D548" s="2" t="inlineStr">
        <is>
          <t>Hello! How can we help you?  Report علي اخوي : 99165763   Sent from my iPhone</t>
        </is>
      </c>
      <c r="E548" s="4" t="inlineStr">
        <is>
          <t>99165763</t>
        </is>
      </c>
      <c r="F548" s="2" t="inlineStr">
        <is>
          <t>علي اخوي</t>
        </is>
      </c>
      <c r="G548" s="4" t="inlineStr">
        <is>
          <t>99165763</t>
        </is>
      </c>
    </row>
    <row r="549" ht="18" customHeight="1">
      <c r="A549" s="5" t="inlineStr">
        <is>
          <t>aziz Almkmya &lt;almkmyaaziz@gmail.com&gt;</t>
        </is>
      </c>
      <c r="B549" s="6" t="inlineStr">
        <is>
          <t>almkmyaaziz@gmail.com</t>
        </is>
      </c>
      <c r="C549" s="5">
        <f>?utf-8?B?2K3YsNmBINin2YTYp9iz2YUg2YfYsNin?=</f>
        <v/>
      </c>
      <c r="D549" s="5" t="inlineStr">
        <is>
          <t>Hello! How can we help you?  Report كاششش : 98811745   ‫أُرسلت من الـ iPhone‬</t>
        </is>
      </c>
      <c r="E549" s="7" t="inlineStr">
        <is>
          <t>98811745</t>
        </is>
      </c>
      <c r="F549" s="5" t="inlineStr">
        <is>
          <t>كاششش</t>
        </is>
      </c>
      <c r="G549" s="7" t="inlineStr">
        <is>
          <t>98811745</t>
        </is>
      </c>
    </row>
    <row r="550" ht="18" customHeight="1">
      <c r="A550" s="2" t="inlineStr">
        <is>
          <t>Saud Almutairi &lt;s3odalmutairi99@icloud.com&gt;</t>
        </is>
      </c>
      <c r="B550" s="3" t="inlineStr">
        <is>
          <t>s3odalmutairi99@icloud.com</t>
        </is>
      </c>
      <c r="C550" s="2">
        <f>?utf-8?B?2KfYs9mFINi62YrYsSDZhNin2KbZgiDZhNmK?=</f>
        <v/>
      </c>
      <c r="D550" s="2" t="inlineStr">
        <is>
          <t>Hello! How can we help you?  Report سعود سديق الهدهد : 98548299    ‫أُرسلت من الـ iPhone‬</t>
        </is>
      </c>
      <c r="E550" s="4" t="inlineStr">
        <is>
          <t>98548299</t>
        </is>
      </c>
      <c r="F550" s="2" t="inlineStr">
        <is>
          <t>سعود سديق الهدهد</t>
        </is>
      </c>
      <c r="G550" s="4" t="inlineStr">
        <is>
          <t>98548299</t>
        </is>
      </c>
    </row>
    <row r="551" ht="18" customHeight="1">
      <c r="A551" s="5" t="inlineStr">
        <is>
          <t>fahad alsaad &lt;fahadalsaad1989@hotmail.com&gt;</t>
        </is>
      </c>
      <c r="B551" s="6" t="inlineStr">
        <is>
          <t>fahadalsaad1989@hotmail.com</t>
        </is>
      </c>
      <c r="C551" s="5" t="inlineStr"/>
      <c r="D551" s="5" t="inlineStr">
        <is>
          <t xml:space="preserve">Hello! How can we help you?  Report سعد عبدالرزاق ظاهر زين : 99907133  Sent from my iPhone </t>
        </is>
      </c>
      <c r="E551" s="7" t="inlineStr">
        <is>
          <t>99907133</t>
        </is>
      </c>
      <c r="F551" s="5" t="inlineStr">
        <is>
          <t>سعد عبدالرزاق ظاهر زين</t>
        </is>
      </c>
      <c r="G551" s="7" t="inlineStr">
        <is>
          <t>99907133</t>
        </is>
      </c>
    </row>
    <row r="552" ht="18" customHeight="1">
      <c r="A552" s="2" t="inlineStr">
        <is>
          <t>ALya Al &lt;alalya750@gmail.com&gt;</t>
        </is>
      </c>
      <c r="B552" s="3" t="inlineStr">
        <is>
          <t>alalya750@gmail.com</t>
        </is>
      </c>
      <c r="C552" s="2" t="inlineStr"/>
      <c r="D552" s="2" t="inlineStr">
        <is>
          <t>Hello! How can we help you?  Report Psycho- : 99031369   Sent from my iPhone</t>
        </is>
      </c>
      <c r="E552" s="4" t="inlineStr">
        <is>
          <t>99031369</t>
        </is>
      </c>
      <c r="F552" s="2" t="inlineStr">
        <is>
          <t>Psycho-</t>
        </is>
      </c>
      <c r="G552" s="4" t="inlineStr">
        <is>
          <t>99031369</t>
        </is>
      </c>
    </row>
    <row r="553" ht="18" customHeight="1">
      <c r="A553" s="5" t="inlineStr">
        <is>
          <t>ALya Al &lt;alalya750@gmail.com&gt;</t>
        </is>
      </c>
      <c r="B553" s="6" t="inlineStr">
        <is>
          <t>alalya750@gmail.com</t>
        </is>
      </c>
      <c r="C553" s="5" t="inlineStr"/>
      <c r="D553" s="5" t="inlineStr">
        <is>
          <t>Hello! How can we help you?  Report عنزيه 33 مدرسه : 99031369   Sent from my iPhone</t>
        </is>
      </c>
      <c r="E553" s="7" t="inlineStr">
        <is>
          <t>99031369</t>
        </is>
      </c>
      <c r="F553" s="5" t="inlineStr">
        <is>
          <t>عنزيه 33 مدرسه</t>
        </is>
      </c>
      <c r="G553" s="7" t="inlineStr">
        <is>
          <t>99031369</t>
        </is>
      </c>
    </row>
    <row r="554" ht="18" customHeight="1">
      <c r="A554" s="2" t="inlineStr">
        <is>
          <t>Maryam abdullah &lt;pazzainter944@icloud.com&gt;</t>
        </is>
      </c>
      <c r="B554" s="3" t="inlineStr">
        <is>
          <t>pazzainter944@icloud.com</t>
        </is>
      </c>
      <c r="C554" s="2" t="inlineStr">
        <is>
          <t>Report</t>
        </is>
      </c>
      <c r="D554" s="2" t="inlineStr">
        <is>
          <t xml:space="preserve">Hello! How can we help you?  I just bought this number and found this i don’t anyone to take bad idea about me  Report سمره وحلوه : 94198591   </t>
        </is>
      </c>
      <c r="E554" s="4" t="inlineStr">
        <is>
          <t>94198591</t>
        </is>
      </c>
      <c r="F554" s="2" t="inlineStr">
        <is>
          <t>سمره وحلوه</t>
        </is>
      </c>
      <c r="G554" s="4" t="inlineStr">
        <is>
          <t>94198591</t>
        </is>
      </c>
    </row>
    <row r="555" ht="18" customHeight="1">
      <c r="A555" s="5" t="inlineStr">
        <is>
          <t>Maha Alotaibi &lt;mh_alt@hotmail.com&gt;</t>
        </is>
      </c>
      <c r="B555" s="6" t="inlineStr">
        <is>
          <t>mh_alt@hotmail.com</t>
        </is>
      </c>
      <c r="C555" s="5" t="inlineStr">
        <is>
          <t>How can you help?</t>
        </is>
      </c>
      <c r="D555" s="5" t="inlineStr">
        <is>
          <t xml:space="preserve">Hello! How can we help you?  Report زفته- : 97912171  Thanks Maha </t>
        </is>
      </c>
      <c r="E555" s="7" t="inlineStr">
        <is>
          <t>97912171</t>
        </is>
      </c>
      <c r="F555" s="5" t="inlineStr">
        <is>
          <t>زفته-</t>
        </is>
      </c>
      <c r="G555" s="7" t="inlineStr">
        <is>
          <t>97912171</t>
        </is>
      </c>
    </row>
    <row r="556" ht="18" customHeight="1">
      <c r="A556" s="2" t="inlineStr">
        <is>
          <t>Futoun Abdullah &lt;futounalkandery@icloud.com&gt;</t>
        </is>
      </c>
      <c r="B556" s="3" t="inlineStr">
        <is>
          <t>futounalkandery@icloud.com</t>
        </is>
      </c>
      <c r="C556" s="2">
        <f>?utf-8?B?2LHYrNin2KHZi9inINit2LDZgSDZh9in2YTYp9iz2YUg2YXZhiA=?=  =?utf-8?B?2LHZgtmF2YogIQ==?=</f>
        <v/>
      </c>
      <c r="D556" s="2" t="inlineStr">
        <is>
          <t xml:space="preserve">Hello! How can we help you?  Report Ftno Rfejat Khlod : 94008208  </t>
        </is>
      </c>
      <c r="E556" s="4" t="inlineStr">
        <is>
          <t>94008208</t>
        </is>
      </c>
      <c r="F556" s="2" t="inlineStr">
        <is>
          <t>Ftno Rfejat Khlod</t>
        </is>
      </c>
      <c r="G556" s="4" t="inlineStr">
        <is>
          <t>94008208</t>
        </is>
      </c>
    </row>
    <row r="557" ht="18" customHeight="1">
      <c r="A557" s="5" t="inlineStr">
        <is>
          <t>shouglenezii@icloud.com</t>
        </is>
      </c>
      <c r="B557" s="6" t="inlineStr">
        <is>
          <t>shouglenezii@icloud.com</t>
        </is>
      </c>
      <c r="C557" s="5" t="inlineStr"/>
      <c r="D557" s="5" t="inlineStr">
        <is>
          <t>Hello! How can we help you?  Report خلفي : 69975669   ‫أُرسلت من الـ iPhone‬</t>
        </is>
      </c>
      <c r="E557" s="7" t="inlineStr">
        <is>
          <t>69975669</t>
        </is>
      </c>
      <c r="F557" s="5" t="inlineStr">
        <is>
          <t>خلفي</t>
        </is>
      </c>
      <c r="G557" s="7" t="inlineStr">
        <is>
          <t>69975669</t>
        </is>
      </c>
    </row>
    <row r="558" ht="18" customHeight="1">
      <c r="A558" s="2" t="inlineStr">
        <is>
          <t>Faisal Al Senan &lt;faisalalsenan@gmail.com&gt;</t>
        </is>
      </c>
      <c r="B558" s="3" t="inlineStr">
        <is>
          <t>faisalalsenan@gmail.com</t>
        </is>
      </c>
      <c r="C558" s="2">
        <f>?utf-8?Q?=D9=85=D8=B3=D8=AD_=D8=A8=D9=8A=D8=A7=D9=86=D8=A7?=  =?utf-8?Q?=D8=AA_=D8=B1=D9=82=D9=85=D9=8A_55296262?=</f>
        <v/>
      </c>
      <c r="D558" s="2" t="inlineStr">
        <is>
          <t>Hello! How can we help you?  Report اسماء الفوزان- : 55296262   ‫أُرسلت من الـ iPhone‬</t>
        </is>
      </c>
      <c r="E558" s="4" t="inlineStr">
        <is>
          <t>55296262</t>
        </is>
      </c>
      <c r="F558" s="2" t="inlineStr">
        <is>
          <t>اسماء الفوزان-</t>
        </is>
      </c>
      <c r="G558" s="4" t="inlineStr">
        <is>
          <t>55296262</t>
        </is>
      </c>
    </row>
    <row r="559" ht="18" customHeight="1">
      <c r="A559" s="5" t="inlineStr">
        <is>
          <t>Faisal Al Senan &lt;faisalalsenan@gmail.com&gt;</t>
        </is>
      </c>
      <c r="B559" s="6" t="inlineStr">
        <is>
          <t>faisalalsenan@gmail.com</t>
        </is>
      </c>
      <c r="C559" s="5">
        <f>?utf-8?B?2YXYs9itINio2YrYp9mG2KfYqiDYsdmC2YXZig==?=</f>
        <v/>
      </c>
      <c r="D559" s="5" t="inlineStr">
        <is>
          <t>Hello! How can we help you?  Report اسماء الفوزان- : 55296262   ‫أُرسلت من الـ iPhone‬</t>
        </is>
      </c>
      <c r="E559" s="7" t="inlineStr">
        <is>
          <t>55296262</t>
        </is>
      </c>
      <c r="F559" s="5" t="inlineStr">
        <is>
          <t>اسماء الفوزان-</t>
        </is>
      </c>
      <c r="G559" s="7" t="inlineStr">
        <is>
          <t>55296262</t>
        </is>
      </c>
    </row>
    <row r="560" ht="18" customHeight="1">
      <c r="A560" s="2" t="inlineStr">
        <is>
          <t>Faisal Al Senan &lt;faisalalsenan@gmail.com&gt;</t>
        </is>
      </c>
      <c r="B560" s="3" t="inlineStr">
        <is>
          <t>faisalalsenan@gmail.com</t>
        </is>
      </c>
      <c r="C560" s="2">
        <f>?utf-8?B?2YXYs9itINio2YrYp9mG2KfYqiDYsdmC2YXZig==?=</f>
        <v/>
      </c>
      <c r="D560" s="2" t="inlineStr">
        <is>
          <t>Hello! How can we help you?  Report اسماء الفوزان- : 55296262   ‫أُرسلت من الـ iPhone‬</t>
        </is>
      </c>
      <c r="E560" s="4" t="inlineStr">
        <is>
          <t>55296262</t>
        </is>
      </c>
      <c r="F560" s="2" t="inlineStr">
        <is>
          <t>اسماء الفوزان-</t>
        </is>
      </c>
      <c r="G560" s="4" t="inlineStr">
        <is>
          <t>55296262</t>
        </is>
      </c>
    </row>
    <row r="561" ht="18" customHeight="1">
      <c r="A561" s="5" t="inlineStr">
        <is>
          <t>Faisal Al Senan &lt;faisalalsenan@gmail.com&gt;</t>
        </is>
      </c>
      <c r="B561" s="6" t="inlineStr">
        <is>
          <t>faisalalsenan@gmail.com</t>
        </is>
      </c>
      <c r="C561" s="5">
        <f>?utf-8?B?2YXYs9itINio2YrYp9mG2KfYqiDYsdmC2YXZiiDYp9mE2KvYp9mG?=  =?utf-8?B?2Yo=?=</f>
        <v/>
      </c>
      <c r="D561" s="5" t="inlineStr">
        <is>
          <t>Hello! How can we help you?  Report Fajora- : 99799001   ‫أُرسلت من الـ iPhone‬</t>
        </is>
      </c>
      <c r="E561" s="7" t="inlineStr">
        <is>
          <t>99799001</t>
        </is>
      </c>
      <c r="F561" s="5" t="inlineStr">
        <is>
          <t>Fajora-</t>
        </is>
      </c>
      <c r="G561" s="7" t="inlineStr">
        <is>
          <t>99799001</t>
        </is>
      </c>
    </row>
    <row r="562" ht="18" customHeight="1">
      <c r="A562" s="2" t="inlineStr">
        <is>
          <t>Faisal Al Senan &lt;faisalalsenan@gmail.com&gt;</t>
        </is>
      </c>
      <c r="B562" s="3" t="inlineStr">
        <is>
          <t>faisalalsenan@gmail.com</t>
        </is>
      </c>
      <c r="C562" s="2">
        <f>?utf-8?B?2YXYs9itINio2YrYp9mG2KfYqiDYsdmC2YXZig==?=</f>
        <v/>
      </c>
      <c r="D562" s="2" t="inlineStr">
        <is>
          <t>Hello! How can we help you?  Report Fajora- : 99799001   ‫أُرسلت من الـ iPhone‬</t>
        </is>
      </c>
      <c r="E562" s="4" t="inlineStr">
        <is>
          <t>99799001</t>
        </is>
      </c>
      <c r="F562" s="2" t="inlineStr">
        <is>
          <t>Fajora-</t>
        </is>
      </c>
      <c r="G562" s="4" t="inlineStr">
        <is>
          <t>99799001</t>
        </is>
      </c>
    </row>
    <row r="563" ht="18" customHeight="1">
      <c r="A563" s="5" t="inlineStr">
        <is>
          <t>Faisal Al Senan &lt;faisalalsenan@gmail.com&gt;</t>
        </is>
      </c>
      <c r="B563" s="6" t="inlineStr">
        <is>
          <t>faisalalsenan@gmail.com</t>
        </is>
      </c>
      <c r="C563" s="5">
        <f>?utf-8?B?2YXYs9itINio2YrYp9mG2KfYqiDYsdmC2YXZig==?=</f>
        <v/>
      </c>
      <c r="D563" s="5" t="inlineStr">
        <is>
          <t>Hello! How can we help you?  Report Fajora- : 99799001   ‫أُرسلت من الـ iPhone‬</t>
        </is>
      </c>
      <c r="E563" s="7" t="inlineStr">
        <is>
          <t>99799001</t>
        </is>
      </c>
      <c r="F563" s="5" t="inlineStr">
        <is>
          <t>Fajora-</t>
        </is>
      </c>
      <c r="G563" s="7" t="inlineStr">
        <is>
          <t>99799001</t>
        </is>
      </c>
    </row>
    <row r="564" ht="18" customHeight="1">
      <c r="A564" s="2" t="inlineStr">
        <is>
          <t>Faisal Aldaihani &lt;soldar81@icloud.com&gt;</t>
        </is>
      </c>
      <c r="B564" s="3" t="inlineStr">
        <is>
          <t>soldar81@icloud.com</t>
        </is>
      </c>
      <c r="C564" s="2">
        <f>?utf-8?B?2YTZitizINin2LPZhdmKIA==?=</f>
        <v/>
      </c>
      <c r="D564" s="2" t="inlineStr">
        <is>
          <t>Hello! How can we help you?  Report -ال فيصل المالج الصباح : 55556641  ارجو ازاله هذا الاسم هذا الاسم لايعنيني Sent from my iPhone</t>
        </is>
      </c>
      <c r="E564" s="4" t="inlineStr">
        <is>
          <t>55556641</t>
        </is>
      </c>
      <c r="F564" s="2" t="inlineStr">
        <is>
          <t>-ال فيصل المالج الصباح</t>
        </is>
      </c>
      <c r="G564" s="4" t="inlineStr">
        <is>
          <t>55556641</t>
        </is>
      </c>
    </row>
    <row r="565" ht="18" customHeight="1">
      <c r="A565" s="5" t="inlineStr">
        <is>
          <t>abdullah A &lt;ab5424aiooa@gmail.com&gt;</t>
        </is>
      </c>
      <c r="B565" s="6" t="inlineStr">
        <is>
          <t>ab5424aiooa@gmail.com</t>
        </is>
      </c>
      <c r="C565" s="5">
        <f>?utf-8?B?4oCPINin2YTZg9ix2KfZh9mK2Kkg2YjYp9mE2KPYs9mJ?=</f>
        <v/>
      </c>
      <c r="D565" s="5" t="inlineStr">
        <is>
          <t>Hello! How can we help you?  Report عبدالله طيطه : 99034077   ‫أُرسلت من الـ iPhone‬</t>
        </is>
      </c>
      <c r="E565" s="7" t="inlineStr">
        <is>
          <t>99034077</t>
        </is>
      </c>
      <c r="F565" s="5" t="inlineStr">
        <is>
          <t>عبدالله طيطه</t>
        </is>
      </c>
      <c r="G565" s="7" t="inlineStr">
        <is>
          <t>99034077</t>
        </is>
      </c>
    </row>
    <row r="566" ht="18" customHeight="1">
      <c r="A566" s="2">
        <f>?utf-8?B?2YXYrdmF2K8g2KfZhNiv2YXYp9mD?= &lt;m7md_2006_6@icloud.com&gt;</f>
        <v/>
      </c>
      <c r="B566" s="3" t="inlineStr">
        <is>
          <t>m7md_2006_6@icloud.com</t>
        </is>
      </c>
      <c r="C566" s="2">
        <f>?utf-8?B?2YfYsNinINin2YTYsdis2YQg2YPYp9iq2Kgg2LnZhNmJINix2YI=?=  =?utf-8?B?2YXZiiDYstio2YjZhiDYtdi62YrYsSDZiNin2KrZhdmG2Ykg2Kc=?=  =?utf-8?B?2LLYp9mE2Kog2YfYsNinINmF2Ygg2KfZhNio2LHZhtin2YXYrA==?=</f>
        <v/>
      </c>
      <c r="D566" s="2" t="inlineStr">
        <is>
          <t xml:space="preserve">Hello! How can we help you?  Report زبون صغير : 56539951   ‫أُرسلت من الـ iPhone‬  </t>
        </is>
      </c>
      <c r="E566" s="4" t="inlineStr">
        <is>
          <t>56539951</t>
        </is>
      </c>
      <c r="F566" s="2" t="inlineStr">
        <is>
          <t>زبون صغير</t>
        </is>
      </c>
      <c r="G566" s="4" t="inlineStr">
        <is>
          <t>56539951</t>
        </is>
      </c>
    </row>
    <row r="567" ht="18" customHeight="1">
      <c r="A567" s="5">
        <f>?utf-8?B?2YXYrdmF2K8g2KfZhNiv2YXYp9mD?= &lt;m7md_2006_6@icloud.com&gt;</f>
        <v/>
      </c>
      <c r="B567" s="6" t="inlineStr">
        <is>
          <t>m7md_2006_6@icloud.com</t>
        </is>
      </c>
      <c r="C567" s="5" t="inlineStr"/>
      <c r="D567" s="5" t="inlineStr">
        <is>
          <t>Hello! How can we help you?  Report زبون صغير : 56539951   ‫أُرسلت من الـ iPhone‬</t>
        </is>
      </c>
      <c r="E567" s="7" t="inlineStr">
        <is>
          <t>56539951</t>
        </is>
      </c>
      <c r="F567" s="5" t="inlineStr">
        <is>
          <t>زبون صغير</t>
        </is>
      </c>
      <c r="G567" s="7" t="inlineStr">
        <is>
          <t>56539951</t>
        </is>
      </c>
    </row>
    <row r="568" ht="18" customHeight="1">
      <c r="A568" s="2" t="inlineStr">
        <is>
          <t>aisha bu qmasha &lt;aisha.buqmasha@icloud.com&gt;</t>
        </is>
      </c>
      <c r="B568" s="3" t="inlineStr">
        <is>
          <t>aisha.buqmasha@icloud.com</t>
        </is>
      </c>
      <c r="C568" s="2" t="inlineStr"/>
      <c r="D568" s="2" t="inlineStr">
        <is>
          <t>Hello! How can we help you?  Report دادى شوقر تعرفنى من سناب من : 65511998   Sent from my iPhone</t>
        </is>
      </c>
      <c r="E568" s="4" t="inlineStr">
        <is>
          <t>65511998</t>
        </is>
      </c>
      <c r="F568" s="2" t="inlineStr">
        <is>
          <t>دادى شوقر تعرفنى من سناب من</t>
        </is>
      </c>
      <c r="G568" s="4" t="inlineStr">
        <is>
          <t>65511998</t>
        </is>
      </c>
    </row>
    <row r="569" ht="18" customHeight="1">
      <c r="A569" s="5" t="inlineStr">
        <is>
          <t>kwt &lt;azizkwt483@gmail.com&gt;</t>
        </is>
      </c>
      <c r="B569" s="6" t="inlineStr">
        <is>
          <t>azizkwt483@gmail.com</t>
        </is>
      </c>
      <c r="C569" s="5">
        <f>?utf-8?B?2KfZhNix2KzYp9ihINmF2LPYrSDZh9iw2Kcg2KfZhNmE2YLYqA==?=</f>
        <v/>
      </c>
      <c r="D569" s="5" t="inlineStr">
        <is>
          <t>Hello! How can we help you?  Report كوكي الدجاجه : 65022241   ‫أُرسلت من الـ iPhone‬</t>
        </is>
      </c>
      <c r="E569" s="7" t="inlineStr">
        <is>
          <t>65022241</t>
        </is>
      </c>
      <c r="F569" s="5" t="inlineStr">
        <is>
          <t>كوكي الدجاجه</t>
        </is>
      </c>
      <c r="G569" s="7" t="inlineStr">
        <is>
          <t>65022241</t>
        </is>
      </c>
    </row>
    <row r="570" ht="18" customHeight="1">
      <c r="A570" s="2" t="inlineStr">
        <is>
          <t>Hammoud Azzam &lt;hammoudSaif@hotmail.com&gt;</t>
        </is>
      </c>
      <c r="B570" s="3" t="inlineStr">
        <is>
          <t>hammoudSaif@hotmail.com</t>
        </is>
      </c>
      <c r="C570" s="2">
        <f>?utf-8?B?2KfYs9mFINmF2LPZitihINin2KjZhNi62Kog2LnZhtmHINmI2YTZhSDYqtit?=  =?utf-8?B?2LDZgdmI2YchIQ==?=</f>
        <v/>
      </c>
      <c r="D570" s="2" t="inlineStr">
        <is>
          <t xml:space="preserve"> السلام عليكم يعطيكم العافية الاسم هذا بلغت عليه اكثر من 4 مرات وكل مرة تقولون لي حذفناه وارجع القاه بالبرنامج الرجاء ان تاخذون الموضوع بجدية وتحذفونه!!   Kindly note that I have sent many emails about this name that is offensive and was put by someone who I thought was a friend as a joke and YET it has not been deleted. Kindly take this seriously and delete these offensive names!!  Report غي3 : 97412756  </t>
        </is>
      </c>
      <c r="E570" s="4" t="inlineStr">
        <is>
          <t>97412756</t>
        </is>
      </c>
      <c r="F570" s="2" t="inlineStr">
        <is>
          <t>غي3</t>
        </is>
      </c>
      <c r="G570" s="4" t="inlineStr">
        <is>
          <t>97412756</t>
        </is>
      </c>
    </row>
    <row r="571" ht="18" customHeight="1">
      <c r="A571" s="5" t="inlineStr">
        <is>
          <t>moon heart &lt;heart_moon128@hotmail.com&gt;</t>
        </is>
      </c>
      <c r="B571" s="6" t="inlineStr">
        <is>
          <t>heart_moon128@hotmail.com</t>
        </is>
      </c>
      <c r="C571" s="5">
        <f>?utf-8?B?2KfYsdis2Ygg2YXYs9itINin2YTYp9iz2YUgKNi62YrYsSDZhNin2KbZgik=?=</f>
        <v/>
      </c>
      <c r="D571" s="5" t="inlineStr">
        <is>
          <t xml:space="preserve">Hello! How can we help you?  Report ام بدرتبي شقه- : 99299766   تم حفظ هذا الاسم على رقمي من احدهم بسبب بحثي عن شقة للإيجار لكنه غير لائق اطلاقاً ويُفهم بطريقة سيئة جداً ارجو مسحه!! </t>
        </is>
      </c>
      <c r="E571" s="7" t="inlineStr">
        <is>
          <t>99299766</t>
        </is>
      </c>
      <c r="F571" s="5" t="inlineStr">
        <is>
          <t>ام بدرتبي شقه-</t>
        </is>
      </c>
      <c r="G571" s="7" t="inlineStr">
        <is>
          <t>99299766</t>
        </is>
      </c>
    </row>
    <row r="572" ht="18" customHeight="1">
      <c r="A572" s="2">
        <f>?utf-8?B?2YXYrdmF2K8g2KfZhNmF2KfYttmK?= &lt;madibls@hotmail.com&gt;</f>
        <v/>
      </c>
      <c r="B572" s="3" t="inlineStr">
        <is>
          <t>madibls@hotmail.com</t>
        </is>
      </c>
      <c r="C572" s="2">
        <f>?utf-8?B?2LPZhNin2YU=?=</f>
        <v/>
      </c>
      <c r="D572" s="2" t="inlineStr">
        <is>
          <t xml:space="preserve">الرقم لشركة سناب العقارية    Hello! How can we help you?  Report اسامه رياض 2 : 50022424  Mohammad  khaleel +96599717400 </t>
        </is>
      </c>
      <c r="E572" s="4" t="inlineStr">
        <is>
          <t>50022424, 99717400</t>
        </is>
      </c>
      <c r="F572" s="2" t="inlineStr">
        <is>
          <t>اسامه رياض 2</t>
        </is>
      </c>
      <c r="G572" s="4" t="inlineStr">
        <is>
          <t>50022424</t>
        </is>
      </c>
    </row>
    <row r="573" ht="18" customHeight="1">
      <c r="A573" s="5" t="inlineStr">
        <is>
          <t>Farah Alenezi &lt;farah13alenezi@icloud.com&gt;</t>
        </is>
      </c>
      <c r="B573" s="6" t="inlineStr">
        <is>
          <t>farah13alenezi@icloud.com</t>
        </is>
      </c>
      <c r="C573" s="5" t="inlineStr"/>
      <c r="D573" s="5" t="inlineStr">
        <is>
          <t>Hello! How can we help you?  Report فرح الغثيثه- : 94438977    Sent from my iPhone</t>
        </is>
      </c>
      <c r="E573" s="7" t="inlineStr">
        <is>
          <t>94438977</t>
        </is>
      </c>
      <c r="F573" s="5" t="inlineStr">
        <is>
          <t>فرح الغثيثه-</t>
        </is>
      </c>
      <c r="G573" s="7" t="inlineStr">
        <is>
          <t>94438977</t>
        </is>
      </c>
    </row>
    <row r="574" ht="18" customHeight="1">
      <c r="A574" s="2" t="inlineStr">
        <is>
          <t>zone tech &lt;taifa2x@icloud.com&gt;</t>
        </is>
      </c>
      <c r="B574" s="3" t="inlineStr">
        <is>
          <t>taifa2x@icloud.com</t>
        </is>
      </c>
      <c r="C574" s="2" t="inlineStr"/>
      <c r="D574" s="2" t="inlineStr">
        <is>
          <t>Hello! How can we help you?  Report بنت ام راجح : 69910094   ‫أُرسلت من الـ iPhone‬</t>
        </is>
      </c>
      <c r="E574" s="4" t="inlineStr">
        <is>
          <t>69910094</t>
        </is>
      </c>
      <c r="F574" s="2" t="inlineStr">
        <is>
          <t>بنت ام راجح</t>
        </is>
      </c>
      <c r="G574" s="4" t="inlineStr">
        <is>
          <t>69910094</t>
        </is>
      </c>
    </row>
    <row r="575" ht="18" customHeight="1">
      <c r="A575" s="5" t="inlineStr">
        <is>
          <t>Am Alajmi &lt;amalllla1986@gmail.com&gt;</t>
        </is>
      </c>
      <c r="B575" s="6" t="inlineStr">
        <is>
          <t>amalllla1986@gmail.com</t>
        </is>
      </c>
      <c r="C575" s="5" t="inlineStr"/>
      <c r="D575" s="5" t="inlineStr">
        <is>
          <t>Hello! How can we help you?  Report ام عبدالله جابر العلي بنت الوسخة الزانية : 99997457   ‫أُرسلت من الـ iPhone‬</t>
        </is>
      </c>
      <c r="E575" s="7" t="inlineStr">
        <is>
          <t>99997457</t>
        </is>
      </c>
      <c r="F575" s="5" t="inlineStr">
        <is>
          <t>ام عبدالله جابر العلي بنت الوسخة الزانية</t>
        </is>
      </c>
      <c r="G575" s="7" t="inlineStr">
        <is>
          <t>99997457</t>
        </is>
      </c>
    </row>
    <row r="576" ht="18" customHeight="1">
      <c r="A576" s="2" t="inlineStr">
        <is>
          <t>Fahad Alrajhi &lt;k800if@icloud.com&gt;</t>
        </is>
      </c>
      <c r="B576" s="3" t="inlineStr">
        <is>
          <t>k800if@icloud.com</t>
        </is>
      </c>
      <c r="C576" s="2" t="inlineStr">
        <is>
          <t>H</t>
        </is>
      </c>
      <c r="D576" s="2" t="inlineStr">
        <is>
          <t>Hello! How can we help you?  Report فهد شور : 51511171  This name is an respected  Sent from my iPhone</t>
        </is>
      </c>
      <c r="E576" s="4" t="inlineStr">
        <is>
          <t>51511171</t>
        </is>
      </c>
      <c r="F576" s="2" t="inlineStr">
        <is>
          <t>فهد شور</t>
        </is>
      </c>
      <c r="G576" s="4" t="inlineStr">
        <is>
          <t>51511171</t>
        </is>
      </c>
    </row>
    <row r="577" ht="18" customHeight="1">
      <c r="A577" s="5" t="inlineStr">
        <is>
          <t>maha alm &lt;m6xa00q@gmail.com&gt;</t>
        </is>
      </c>
      <c r="B577" s="6" t="inlineStr">
        <is>
          <t>m6xa00q@gmail.com</t>
        </is>
      </c>
      <c r="C577" s="5">
        <f>?utf-8?B?2LTZitmEINin2YTYp9mG2K/ZhNiz?=</f>
        <v/>
      </c>
      <c r="D577" s="5" t="inlineStr">
        <is>
          <t>Hello! How can we help you?  Report امازون الاندلس قطعه 4 شارع 20 منزل : 69044402   ‫أُرسلت من الـ iPhone‬</t>
        </is>
      </c>
      <c r="E577" s="7" t="inlineStr">
        <is>
          <t>69044402</t>
        </is>
      </c>
      <c r="F577" s="5" t="inlineStr">
        <is>
          <t>امازون الاندلس قطعه 4 شارع 20 منزل</t>
        </is>
      </c>
      <c r="G577" s="7" t="inlineStr">
        <is>
          <t>69044402</t>
        </is>
      </c>
    </row>
    <row r="578" ht="18" customHeight="1">
      <c r="A578" s="2" t="inlineStr">
        <is>
          <t>Allh 7sebik &lt;allh_7sebik@icloud.com&gt;</t>
        </is>
      </c>
      <c r="B578" s="3" t="inlineStr">
        <is>
          <t>allh_7sebik@icloud.com</t>
        </is>
      </c>
      <c r="C578" s="2" t="inlineStr"/>
      <c r="D578" s="2" t="inlineStr">
        <is>
          <t>Hello! How can we help you?  Report حسن شبراوي موارنوووووووو : 50278240   Sent from my iPhone</t>
        </is>
      </c>
      <c r="E578" s="4" t="inlineStr">
        <is>
          <t>50278240</t>
        </is>
      </c>
      <c r="F578" s="2" t="inlineStr">
        <is>
          <t>حسن شبراوي موارنوووووووو</t>
        </is>
      </c>
      <c r="G578" s="4" t="inlineStr">
        <is>
          <t>50278240</t>
        </is>
      </c>
    </row>
    <row r="579" ht="18" customHeight="1">
      <c r="A579" s="5" t="inlineStr">
        <is>
          <t>Bashar Abuqurs &lt;bashar.abuqurs@kfh.com&gt;</t>
        </is>
      </c>
      <c r="B579" s="6" t="inlineStr">
        <is>
          <t>bashar.abuqurs@kfh.com</t>
        </is>
      </c>
      <c r="C579" s="5" t="inlineStr">
        <is>
          <t>97278175</t>
        </is>
      </c>
      <c r="D579" s="5" t="inlineStr">
        <is>
          <t>Hello! How can we help you?  Report انتبهوا منه هذا واحد وغشاش يشهد الله : 97278175  الرجاء حذف هاد الاسم بالسرعه القصوى Regards, Bashar Abu Qurs Bashar Abuqurs Senior Data Warehouse Specialist Data Warehouse Management Group Transformation, Technology and Operations Ph. +965-24966291 Email: Bashar.Abuqurs@kfh.com&lt;mailto:Bashar.Abuqurs@kfh.com&gt; [KFH Logo] www.kfh.com&lt;http://www.kfh.com&gt; Snapchat&lt;https://www.snapchat.com/add/kfhgroup&gt; | Instagram&lt;https://www.instagram.com/kfhgroup/&gt; | YouTube&lt;https://www.youtube.com/KFHGroup&gt; | @KFHGroup&lt;https://twitter.com/kfhgroup&gt;  IMPORTANT: Please consider the environment. Only print if absolutely necessary. This email message and its attachments are for ...</t>
        </is>
      </c>
      <c r="E579" s="7" t="inlineStr">
        <is>
          <t>97278175, 24966291</t>
        </is>
      </c>
      <c r="F579" s="5" t="inlineStr">
        <is>
          <t>انتبهوا منه هذا واحد وغشاش يشهد الله</t>
        </is>
      </c>
      <c r="G579" s="7" t="inlineStr">
        <is>
          <t>97278175</t>
        </is>
      </c>
    </row>
    <row r="580" ht="18" customHeight="1">
      <c r="A580" s="2" t="inlineStr">
        <is>
          <t>Moad Aldhafeeri &lt;moadaaldhafeeri@icloud.com&gt;</t>
        </is>
      </c>
      <c r="B580" s="3" t="inlineStr">
        <is>
          <t>moadaaldhafeeri@icloud.com</t>
        </is>
      </c>
      <c r="C580" s="2" t="inlineStr">
        <is>
          <t xml:space="preserve">Please check this out </t>
        </is>
      </c>
      <c r="D580" s="2" t="inlineStr">
        <is>
          <t xml:space="preserve">Hello! How can we help you?  Report جورج سوري مززز مساج- : 66217444   Sent from my iPhone  الرجاء حذف هذا الاسم " جورج عامل مساج مزز " من هذا الرقم 66217444 أنا اسمي ليس جورج ولست عامل مساج الرجاء حذف هذا الاسم مخل نوعاً ما بخصوص حساسيه مكان شغلي  </t>
        </is>
      </c>
      <c r="E580" s="4" t="inlineStr">
        <is>
          <t>66217444</t>
        </is>
      </c>
      <c r="F580" s="2" t="inlineStr">
        <is>
          <t>جورج سوري مززز مساج-</t>
        </is>
      </c>
      <c r="G580" s="4" t="inlineStr">
        <is>
          <t>66217444</t>
        </is>
      </c>
    </row>
    <row r="581" ht="18" customHeight="1">
      <c r="A581" s="5" t="inlineStr">
        <is>
          <t>abdullah mostafa &lt;aboodmostafa28@icloud.com&gt;</t>
        </is>
      </c>
      <c r="B581" s="6" t="inlineStr">
        <is>
          <t>aboodmostafa28@icloud.com</t>
        </is>
      </c>
      <c r="C581" s="5" t="inlineStr"/>
      <c r="D581" s="5" t="inlineStr">
        <is>
          <t>Hello! How can we help you?  Report مغربي شريطي تلفونات اشبيلية : 50960666   Sent from my iPhone</t>
        </is>
      </c>
      <c r="E581" s="7" t="inlineStr">
        <is>
          <t>50960666</t>
        </is>
      </c>
      <c r="F581" s="5" t="inlineStr">
        <is>
          <t>مغربي شريطي تلفونات اشبيلية</t>
        </is>
      </c>
      <c r="G581" s="7" t="inlineStr">
        <is>
          <t>50960666</t>
        </is>
      </c>
    </row>
    <row r="582" ht="18" customHeight="1">
      <c r="A582" s="2" t="inlineStr">
        <is>
          <t>omar ahmed &lt;omar1ooo@yahoo.com&gt;</t>
        </is>
      </c>
      <c r="B582" s="3" t="inlineStr">
        <is>
          <t>omar1ooo@yahoo.com</t>
        </is>
      </c>
      <c r="C582" s="2">
        <f>?utf-8?B?2KfYqNmE2KfYuiDZh9iw2Kcg2KfZhNmF2LPYrNmEINi52YTZitmH?=  =?utf-8?B?INi52YbZiNin2YYg2LPZg9mGINiu2KfYtSDYp9ix2KzZiCDYrdiw?=  =?utf-8?B?2YHYqSDZhNin2YbZhyDYp9mG2KrZh9in2YMg2YTZhNiu2LXZiNi1?=  =?utf-8?B?2YrZhw==?=</f>
        <v/>
      </c>
      <c r="D582" s="2" t="inlineStr">
        <is>
          <t>Hello! How can we help you?  Report ابواحمد ص بيت القرين ق4 ش23م71 تاريخ 5/6- : 51223051   ‫أُرسلت من الـ iPhone‬</t>
        </is>
      </c>
      <c r="E582" s="4" t="inlineStr">
        <is>
          <t>51223051</t>
        </is>
      </c>
      <c r="F582" s="2" t="inlineStr">
        <is>
          <t>ابواحمد ص بيت القرين ق4 ش23م71 تاريخ 5/6-</t>
        </is>
      </c>
      <c r="G582" s="4" t="inlineStr">
        <is>
          <t>51223051</t>
        </is>
      </c>
    </row>
    <row r="583" ht="18" customHeight="1">
      <c r="A583" s="5" t="inlineStr">
        <is>
          <t>omar ahmed &lt;omar1ooo@yahoo.com&gt;</t>
        </is>
      </c>
      <c r="B583" s="6" t="inlineStr">
        <is>
          <t>omar1ooo@yahoo.com</t>
        </is>
      </c>
      <c r="C583" s="5">
        <f>?utf-8?B?2KfYqNmE2KfYuiDZh9mG2KfZgyDYudmG2YjYp9mGINiu2KfYtSA=?=  =?utf-8?B?2YHZiiDYp9mE2LHZgtmFINmI2KfZhtiq2YfYp9mDINmE2YTYrti1?=  =?utf-8?B?2YjYtdmK2Kk=?=</f>
        <v/>
      </c>
      <c r="D583" s="5" t="inlineStr">
        <is>
          <t>Hello! How can we help you?  Report ابواحمد ص بيت القرين ق4 ش23م71 تاريخ 5/6 : 51223051   ‫أُرسلت من الـ iPhone‬</t>
        </is>
      </c>
      <c r="E583" s="7" t="inlineStr">
        <is>
          <t>51223051</t>
        </is>
      </c>
      <c r="F583" s="5" t="inlineStr">
        <is>
          <t>ابواحمد ص بيت القرين ق4 ش23م71 تاريخ 5/6</t>
        </is>
      </c>
      <c r="G583" s="7" t="inlineStr">
        <is>
          <t>51223051</t>
        </is>
      </c>
    </row>
    <row r="584" ht="18" customHeight="1">
      <c r="A584" s="2" t="inlineStr">
        <is>
          <t>"Mr. Hassan" &lt;has0n.180@gmail.com&gt;</t>
        </is>
      </c>
      <c r="B584" s="3" t="inlineStr">
        <is>
          <t>has0n.180@gmail.com</t>
        </is>
      </c>
      <c r="C584" s="2" t="inlineStr">
        <is>
          <t>Private info delete asap</t>
        </is>
      </c>
      <c r="D584" s="2" t="inlineStr">
        <is>
          <t>Hello! How can we help you?  Report حسن الحداد الدسمه 3 / الرشيد / 51 ع العقيله 8 مرجع : 65000671   Sent from my iPhone</t>
        </is>
      </c>
      <c r="E584" s="4" t="inlineStr">
        <is>
          <t>65000671</t>
        </is>
      </c>
      <c r="F584" s="2" t="inlineStr">
        <is>
          <t>حسن الحداد الدسمه 3 / الرشيد / 51 ع العقيله 8 مرجع</t>
        </is>
      </c>
      <c r="G584" s="4" t="inlineStr">
        <is>
          <t>65000671</t>
        </is>
      </c>
    </row>
    <row r="585" ht="18" customHeight="1">
      <c r="A585" s="5" t="inlineStr">
        <is>
          <t>Hamed Almatery &lt;hamed2793@icloud.com&gt;</t>
        </is>
      </c>
      <c r="B585" s="6" t="inlineStr">
        <is>
          <t>hamed2793@icloud.com</t>
        </is>
      </c>
      <c r="C585" s="5">
        <f>?utf-8?B?2KfZhNiz2YTYp9mFINi52YTZitmD2YUg2KfZhtinINix2KzZhCA=?=  =?utf-8?B?2YjZhNmK2LMg2KfZhdix2KPZhyDYp9ix2KzZiCDYrdiw2YEg2Yc=?=  =?utf-8?B?2LDYpyDYp9mE2KfYs9mFINmI2KzYr9in2YYg2KfZhNmF2LfZitix?=  =?utf-8?B?2Yog2YTYp9mG2Ycg2LPYqNioINmE2Yog2YXYtNin2YPZhCDYp9ix?=  =?utf-8?B?2K3ZiCDYp9mE2K3YsNmBINio2KPYs9ix2Lkg2YjZgtiq?=</f>
        <v/>
      </c>
      <c r="D585" s="5" t="inlineStr">
        <is>
          <t>Hello! How can we help you?  Report وجدان المطيري : 65060566   ‫أُرسلت من الـ iPhone‬</t>
        </is>
      </c>
      <c r="E585" s="7" t="inlineStr">
        <is>
          <t>65060566</t>
        </is>
      </c>
      <c r="F585" s="5" t="inlineStr">
        <is>
          <t>وجدان المطيري</t>
        </is>
      </c>
      <c r="G585" s="7" t="inlineStr">
        <is>
          <t>65060566</t>
        </is>
      </c>
    </row>
    <row r="586" ht="18" customHeight="1">
      <c r="A586" s="2" t="inlineStr">
        <is>
          <t>Hamed Almatery &lt;hamed2793@icloud.com&gt;</t>
        </is>
      </c>
      <c r="B586" s="3" t="inlineStr">
        <is>
          <t>hamed2793@icloud.com</t>
        </is>
      </c>
      <c r="C586" s="2">
        <f>?utf-8?B?2KfZhNiz2YTYp9mFINi52YTZitmD2YUg2KfZhtinINix2KzZhCA=?=  =?utf-8?B?2YjZhNmK2LMg2KfZhdix2KPZhyDZiNin2LHYrNmIINit2LDZgSA=?=  =?utf-8?B?2YfYsNinINin2YTYp9iz2YUg2YjYrNiv2KfZhiDYp9mE2YXYt9mK?=  =?utf-8?B?2LHZiiDZhNin2YbZhyDYs9io2Kgg2YTZiiDZhdi02KfZg9mEINmI?=  =?utf-8?B?2KfYsdis2Ygg2KfZhNit2LDZgSDYqNij2LPYsdi5INmI2YLYqiA=?=</f>
        <v/>
      </c>
      <c r="D586" s="2" t="inlineStr">
        <is>
          <t>Hello! How can we help you?  Report وجدان المطيري : 65060566   ‫أُرسلت من الـ iPhone‬</t>
        </is>
      </c>
      <c r="E586" s="4" t="inlineStr">
        <is>
          <t>65060566</t>
        </is>
      </c>
      <c r="F586" s="2" t="inlineStr">
        <is>
          <t>وجدان المطيري</t>
        </is>
      </c>
      <c r="G586" s="4" t="inlineStr">
        <is>
          <t>65060566</t>
        </is>
      </c>
    </row>
    <row r="587" ht="18" customHeight="1">
      <c r="A587" s="5" t="inlineStr">
        <is>
          <t>Lolwa Alothaina &lt;lolwaalothaina@icloud.com&gt;</t>
        </is>
      </c>
      <c r="B587" s="6" t="inlineStr">
        <is>
          <t>lolwaalothaina@icloud.com</t>
        </is>
      </c>
      <c r="C587" s="5" t="inlineStr"/>
      <c r="D587" s="5" t="inlineStr">
        <is>
          <t>Hello! How can we help you?  Report حزام : 99911242   Sent from my iPhone</t>
        </is>
      </c>
      <c r="E587" s="7" t="inlineStr">
        <is>
          <t>99911242</t>
        </is>
      </c>
      <c r="F587" s="5" t="inlineStr">
        <is>
          <t>حزام</t>
        </is>
      </c>
      <c r="G587" s="7" t="inlineStr">
        <is>
          <t>99911242</t>
        </is>
      </c>
    </row>
    <row r="588" ht="18" customHeight="1">
      <c r="A588" s="2" t="inlineStr">
        <is>
          <t>SAUD ALMABKHOUT &lt;alajmi.q8@yahoo.com&gt;</t>
        </is>
      </c>
      <c r="B588" s="3" t="inlineStr">
        <is>
          <t>alajmi.q8@yahoo.com</t>
        </is>
      </c>
      <c r="C588" s="2" t="inlineStr"/>
      <c r="D588" s="2" t="inlineStr">
        <is>
          <t>Hello! How can we help you?  I want it to be deleted   Report حامل ، قطوه حامل ، المحزم الفسوان : 51573666   Sent from my iPhone</t>
        </is>
      </c>
      <c r="E588" s="4" t="inlineStr">
        <is>
          <t>51573666</t>
        </is>
      </c>
      <c r="F588" s="2" t="inlineStr">
        <is>
          <t>حامل ، قطوه حامل ، المحزم الفسوان</t>
        </is>
      </c>
      <c r="G588" s="4" t="inlineStr">
        <is>
          <t>51573666</t>
        </is>
      </c>
    </row>
    <row r="589" ht="18" customHeight="1">
      <c r="A589" s="5" t="inlineStr">
        <is>
          <t>JusLess &lt;mkm24593@gmail.com&gt;</t>
        </is>
      </c>
      <c r="B589" s="6" t="inlineStr">
        <is>
          <t>mkm24593@gmail.com</t>
        </is>
      </c>
      <c r="C589" s="5" t="inlineStr"/>
      <c r="D589" s="5" t="inlineStr">
        <is>
          <t>Hello! How can we help you?  Report Ali Gay : 97707547   Sent from my iPhone</t>
        </is>
      </c>
      <c r="E589" s="7" t="inlineStr">
        <is>
          <t>97707547</t>
        </is>
      </c>
      <c r="F589" s="5" t="inlineStr">
        <is>
          <t>Ali Gay</t>
        </is>
      </c>
      <c r="G589" s="7" t="inlineStr">
        <is>
          <t>97707547</t>
        </is>
      </c>
    </row>
    <row r="590" ht="18" customHeight="1">
      <c r="A590" s="2" t="inlineStr">
        <is>
          <t>new kw &lt;newkw213@yahoo.com&gt;</t>
        </is>
      </c>
      <c r="B590" s="3" t="inlineStr">
        <is>
          <t>newkw213@yahoo.com</t>
        </is>
      </c>
      <c r="C590" s="2" t="inlineStr"/>
      <c r="D590" s="2" t="inlineStr">
        <is>
          <t>Hello! How can we help you?  Report يبي يتوظف 2 : 55477183   ‫أُرسلت من الـ iPhone‬</t>
        </is>
      </c>
      <c r="E590" s="4" t="inlineStr">
        <is>
          <t>55477183</t>
        </is>
      </c>
      <c r="F590" s="2" t="inlineStr">
        <is>
          <t>يبي يتوظف 2</t>
        </is>
      </c>
      <c r="G590" s="4" t="inlineStr">
        <is>
          <t>55477183</t>
        </is>
      </c>
    </row>
    <row r="591" ht="18" customHeight="1">
      <c r="A591" s="5" t="inlineStr">
        <is>
          <t>Moad Aldhafeeri &lt;moadaaldhafeeri@icloud.com&gt;</t>
        </is>
      </c>
      <c r="B591" s="6" t="inlineStr">
        <is>
          <t>moadaaldhafeeri@icloud.com</t>
        </is>
      </c>
      <c r="C591" s="5">
        <f>?utf-8?B?2KfYs9mFINmF2K7ZhCDYqNin2YTYp9iv2KfYqCA=?=</f>
        <v/>
      </c>
      <c r="D591" s="5" t="inlineStr">
        <is>
          <t>Hello! How can we help you?  Report جورج سوري مززز مساج- : 66217444  اسم مخل للاداب أرجو الحذف في اقرب وقت Sent from my iPhone</t>
        </is>
      </c>
      <c r="E591" s="7" t="inlineStr">
        <is>
          <t>66217444</t>
        </is>
      </c>
      <c r="F591" s="5" t="inlineStr">
        <is>
          <t>جورج سوري مززز مساج-</t>
        </is>
      </c>
      <c r="G591" s="7" t="inlineStr">
        <is>
          <t>66217444</t>
        </is>
      </c>
    </row>
    <row r="592" ht="18" customHeight="1">
      <c r="A592" s="2" t="inlineStr">
        <is>
          <t>Jenan Al Awadhi &lt;js_alawadhi@hotmail.com&gt;</t>
        </is>
      </c>
      <c r="B592" s="3" t="inlineStr">
        <is>
          <t>js_alawadhi@hotmail.com</t>
        </is>
      </c>
      <c r="C592" s="2" t="inlineStr">
        <is>
          <t xml:space="preserve">Hide name </t>
        </is>
      </c>
      <c r="D592" s="2" t="inlineStr">
        <is>
          <t xml:space="preserve">Hello! How can we help you?  This name isn’t me  Report كليه ال نوره : 97733203  Sent from my iPhone </t>
        </is>
      </c>
      <c r="E592" s="4" t="inlineStr">
        <is>
          <t>97733203</t>
        </is>
      </c>
      <c r="F592" s="2" t="inlineStr">
        <is>
          <t>كليه ال نوره</t>
        </is>
      </c>
      <c r="G592" s="4" t="inlineStr">
        <is>
          <t>97733203</t>
        </is>
      </c>
    </row>
    <row r="593" ht="18" customHeight="1">
      <c r="A593" s="5" t="inlineStr">
        <is>
          <t>Jenan Al Awadhi &lt;js_alawadhi@hotmail.com&gt;</t>
        </is>
      </c>
      <c r="B593" s="6" t="inlineStr">
        <is>
          <t>js_alawadhi@hotmail.com</t>
        </is>
      </c>
      <c r="C593" s="5" t="inlineStr">
        <is>
          <t>Hide name</t>
        </is>
      </c>
      <c r="D593" s="5" t="inlineStr">
        <is>
          <t xml:space="preserve">Hello! How can we help you?  This name isn’t me  Report منورر العوضي : 97733203  Sent from my iPhone </t>
        </is>
      </c>
      <c r="E593" s="7" t="inlineStr">
        <is>
          <t>97733203</t>
        </is>
      </c>
      <c r="F593" s="5" t="inlineStr">
        <is>
          <t>منورر العوضي</t>
        </is>
      </c>
      <c r="G593" s="7" t="inlineStr">
        <is>
          <t>97733203</t>
        </is>
      </c>
    </row>
    <row r="594" ht="18" customHeight="1">
      <c r="A594" s="2">
        <f>?utf-8?B?2LnYqNiv2KfZhNix2K3ZhdmGINin2YTYudiz2YrZhNin2YY=?= &lt;asalkhaldi.89@gmail.com&gt;</f>
        <v/>
      </c>
      <c r="B594" s="3" t="inlineStr">
        <is>
          <t>asalkhaldi.89@gmail.com</t>
        </is>
      </c>
      <c r="C594" s="2" t="inlineStr"/>
      <c r="D594" s="2" t="inlineStr">
        <is>
          <t xml:space="preserve">Hello! How can we help you?  Report حصان 450- : 55371777   ‏Abdulrahman Alkhaldi </t>
        </is>
      </c>
      <c r="E594" s="4" t="inlineStr">
        <is>
          <t>55371777</t>
        </is>
      </c>
      <c r="F594" s="2" t="inlineStr">
        <is>
          <t>حصان 450-</t>
        </is>
      </c>
      <c r="G594" s="4" t="inlineStr">
        <is>
          <t>55371777</t>
        </is>
      </c>
    </row>
    <row r="595" ht="18" customHeight="1">
      <c r="A595" s="5" t="inlineStr">
        <is>
          <t>Anwar Amotiri &lt;aamotiri@gmail.com&gt;</t>
        </is>
      </c>
      <c r="B595" s="6" t="inlineStr">
        <is>
          <t>aamotiri@gmail.com</t>
        </is>
      </c>
      <c r="C595" s="5">
        <f>?utf-8?B?2LrZitixINmE2KfYptmC?=</f>
        <v/>
      </c>
      <c r="D595" s="5" t="inlineStr">
        <is>
          <t>Hello! How can we help you?  Report ام نوره ابو سلمان : 55598869   ‫أُرسلت من الـ iPhone‬</t>
        </is>
      </c>
      <c r="E595" s="7" t="inlineStr">
        <is>
          <t>55598869</t>
        </is>
      </c>
      <c r="F595" s="5" t="inlineStr">
        <is>
          <t>ام نوره ابو سلمان</t>
        </is>
      </c>
      <c r="G595" s="7" t="inlineStr">
        <is>
          <t>55598869</t>
        </is>
      </c>
    </row>
    <row r="596" ht="18" customHeight="1">
      <c r="A596" s="2" t="inlineStr">
        <is>
          <t>Anwar Amotiri &lt;aamotiri@gmail.com&gt;</t>
        </is>
      </c>
      <c r="B596" s="3" t="inlineStr">
        <is>
          <t>aamotiri@gmail.com</t>
        </is>
      </c>
      <c r="C596" s="2">
        <f>?utf-8?B?2LrZitixINmE2KfYptmC?=</f>
        <v/>
      </c>
      <c r="D596" s="2" t="inlineStr">
        <is>
          <t>Hello! How can we help you?  Report صباح الناصر كاش : 55598869   ‫أُرسلت من الـ iPhone‬</t>
        </is>
      </c>
      <c r="E596" s="4" t="inlineStr">
        <is>
          <t>55598869</t>
        </is>
      </c>
      <c r="F596" s="2" t="inlineStr">
        <is>
          <t>صباح الناصر كاش</t>
        </is>
      </c>
      <c r="G596" s="4" t="inlineStr">
        <is>
          <t>55598869</t>
        </is>
      </c>
    </row>
    <row r="597" ht="18" customHeight="1">
      <c r="A597" s="5" t="inlineStr">
        <is>
          <t>Anwar Amotiri &lt;aamotiri@gmail.com&gt;</t>
        </is>
      </c>
      <c r="B597" s="6" t="inlineStr">
        <is>
          <t>aamotiri@gmail.com</t>
        </is>
      </c>
      <c r="C597" s="5">
        <f>?utf-8?B?2LrZitixINmE2KfYptmC?=</f>
        <v/>
      </c>
      <c r="D597" s="5" t="inlineStr">
        <is>
          <t>Hello! How can we help you?  Report ام نوره عند خالد جديد 1500 : 55598869   ‫أُرسلت من الـ iPhone‬</t>
        </is>
      </c>
      <c r="E597" s="7" t="inlineStr">
        <is>
          <t>55598869</t>
        </is>
      </c>
      <c r="F597" s="5" t="inlineStr">
        <is>
          <t>ام نوره عند خالد جديد 1500</t>
        </is>
      </c>
      <c r="G597" s="7" t="inlineStr">
        <is>
          <t>55598869</t>
        </is>
      </c>
    </row>
    <row r="598" ht="18" customHeight="1">
      <c r="A598" s="2" t="inlineStr">
        <is>
          <t>Soso Arti &lt;S_arti@hotmail.com&gt;</t>
        </is>
      </c>
      <c r="B598" s="3" t="inlineStr">
        <is>
          <t>S_arti@hotmail.com</t>
        </is>
      </c>
      <c r="C598" s="2" t="inlineStr"/>
      <c r="D598" s="2" t="inlineStr">
        <is>
          <t xml:space="preserve">Hello! How can we help you?  Report 329578 : 66444974   هذي ارقام سريه ارجوا المسح Sent from my iPhone </t>
        </is>
      </c>
      <c r="E598" s="4" t="inlineStr">
        <is>
          <t>66444974</t>
        </is>
      </c>
      <c r="F598" s="2" t="inlineStr">
        <is>
          <t>329578</t>
        </is>
      </c>
      <c r="G598" s="4" t="inlineStr">
        <is>
          <t>66444974</t>
        </is>
      </c>
    </row>
    <row r="599" ht="18" customHeight="1">
      <c r="A599" s="5" t="inlineStr">
        <is>
          <t>Soso Arti &lt;S_arti@hotmail.com&gt;</t>
        </is>
      </c>
      <c r="B599" s="6" t="inlineStr">
        <is>
          <t>S_arti@hotmail.com</t>
        </is>
      </c>
      <c r="C599" s="5" t="inlineStr"/>
      <c r="D599" s="5" t="inlineStr">
        <is>
          <t xml:space="preserve">Hello! How can we help you?  Report سكينه صديقه زهراء : 66444974   لا اسمح بإظهار هذي المعلومات ارجوا المسح Sent from my iPhone </t>
        </is>
      </c>
      <c r="E599" s="7" t="inlineStr">
        <is>
          <t>66444974</t>
        </is>
      </c>
      <c r="F599" s="5" t="inlineStr">
        <is>
          <t>سكينه صديقه زهراء</t>
        </is>
      </c>
      <c r="G599" s="7" t="inlineStr">
        <is>
          <t>66444974</t>
        </is>
      </c>
    </row>
    <row r="600" ht="18" customHeight="1">
      <c r="A600" s="2" t="inlineStr">
        <is>
          <t>Soso Arti &lt;S_arti@hotmail.com&gt;</t>
        </is>
      </c>
      <c r="B600" s="3" t="inlineStr">
        <is>
          <t>S_arti@hotmail.com</t>
        </is>
      </c>
      <c r="C600" s="2" t="inlineStr"/>
      <c r="D600" s="2" t="inlineStr">
        <is>
          <t xml:space="preserve">Hello! How can we help you?  Report زايرة 5 اشخاص : 66444974  غير صحيح ارجوا المسح Sent from my iPhone </t>
        </is>
      </c>
      <c r="E600" s="4" t="inlineStr">
        <is>
          <t>66444974</t>
        </is>
      </c>
      <c r="F600" s="2" t="inlineStr">
        <is>
          <t>زايرة 5 اشخاص</t>
        </is>
      </c>
      <c r="G600" s="4" t="inlineStr">
        <is>
          <t>66444974</t>
        </is>
      </c>
    </row>
    <row r="601" ht="18" customHeight="1">
      <c r="A601" s="5" t="inlineStr">
        <is>
          <t>Soso Arti &lt;S_arti@hotmail.com&gt;</t>
        </is>
      </c>
      <c r="B601" s="6" t="inlineStr">
        <is>
          <t>S_arti@hotmail.com</t>
        </is>
      </c>
      <c r="C601" s="5" t="inlineStr"/>
      <c r="D601" s="5" t="inlineStr">
        <is>
          <t xml:space="preserve">Hello! How can we help you?  Report ام محمد آرتي سلوي ق4 ش3 م114 : 66444974  Sent from my iPhone   ارجوا مسح المعلومات مايصير عنواني في برنامج </t>
        </is>
      </c>
      <c r="E601" s="7" t="inlineStr">
        <is>
          <t>66444974</t>
        </is>
      </c>
      <c r="F601" s="5" t="inlineStr">
        <is>
          <t>ام محمد آرتي سلوي ق4 ش3 م114</t>
        </is>
      </c>
      <c r="G601" s="7" t="inlineStr">
        <is>
          <t>66444974</t>
        </is>
      </c>
    </row>
    <row r="602" ht="18" customHeight="1">
      <c r="A602" s="2" t="inlineStr">
        <is>
          <t>kkyy6658@icloud.com</t>
        </is>
      </c>
      <c r="B602" s="3" t="inlineStr">
        <is>
          <t>kkyy6658@icloud.com</t>
        </is>
      </c>
      <c r="C602" s="2" t="inlineStr"/>
      <c r="D602" s="2" t="inlineStr">
        <is>
          <t>Hello! How can we help you?  Report وفاء البراك Vip : 96066619   ‫أُرسلت من الـ iPhone‬</t>
        </is>
      </c>
      <c r="E602" s="4" t="inlineStr">
        <is>
          <t>96066619</t>
        </is>
      </c>
      <c r="F602" s="2" t="inlineStr">
        <is>
          <t>وفاء البراك Vip</t>
        </is>
      </c>
      <c r="G602" s="4" t="inlineStr">
        <is>
          <t>96066619</t>
        </is>
      </c>
    </row>
    <row r="603" ht="18" customHeight="1">
      <c r="A603" s="5" t="inlineStr">
        <is>
          <t>Fatema Arrfaj &lt;f6oum37@gmail.com&gt;</t>
        </is>
      </c>
      <c r="B603" s="6" t="inlineStr">
        <is>
          <t>f6oum37@gmail.com</t>
        </is>
      </c>
      <c r="C603" s="5" t="inlineStr"/>
      <c r="D603" s="5" t="inlineStr">
        <is>
          <t>Hello! How can we help you?  لو سمحتو مسحوه يسوي مشاكل عائليه !!!!!   Report سنيورين لبعض : 99957988   Sent from my iPhone</t>
        </is>
      </c>
      <c r="E603" s="7" t="inlineStr">
        <is>
          <t>99957988</t>
        </is>
      </c>
      <c r="F603" s="5" t="inlineStr">
        <is>
          <t>سنيورين لبعض</t>
        </is>
      </c>
      <c r="G603" s="7" t="inlineStr">
        <is>
          <t>99957988</t>
        </is>
      </c>
    </row>
    <row r="604" ht="18" customHeight="1">
      <c r="A604" s="2" t="inlineStr">
        <is>
          <t>FaHaD AL-FaHaD &lt;fahadalfahad999@gmail.com&gt;</t>
        </is>
      </c>
      <c r="B604" s="3" t="inlineStr">
        <is>
          <t>fahadalfahad999@gmail.com</t>
        </is>
      </c>
      <c r="C604" s="2" t="inlineStr"/>
      <c r="D604" s="2" t="inlineStr">
        <is>
          <t>Hello! How can we help you?  Report Beby 3 : 99912321  It is un ethical can you remove it thank you Sent from my iPhone</t>
        </is>
      </c>
      <c r="E604" s="4" t="inlineStr">
        <is>
          <t>99912321</t>
        </is>
      </c>
      <c r="F604" s="2" t="inlineStr">
        <is>
          <t>Beby 3</t>
        </is>
      </c>
      <c r="G604" s="4" t="inlineStr">
        <is>
          <t>99912321</t>
        </is>
      </c>
    </row>
    <row r="605" ht="18" customHeight="1">
      <c r="A605" s="5" t="inlineStr">
        <is>
          <t>mariam alousi &lt;mariam.alousi6@gmail.com&gt;</t>
        </is>
      </c>
      <c r="B605" s="6" t="inlineStr">
        <is>
          <t>mariam.alousi6@gmail.com</t>
        </is>
      </c>
      <c r="C605" s="5" t="inlineStr"/>
      <c r="D605" s="5" t="inlineStr">
        <is>
          <t>Hello! How can we help you?  Report n3al : 97720275   word is inappropriate  Sent from my iPhone</t>
        </is>
      </c>
      <c r="E605" s="7" t="inlineStr">
        <is>
          <t>97720275</t>
        </is>
      </c>
      <c r="F605" s="5" t="inlineStr">
        <is>
          <t>n3al</t>
        </is>
      </c>
      <c r="G605" s="7" t="inlineStr">
        <is>
          <t>97720275</t>
        </is>
      </c>
    </row>
    <row r="606" ht="18" customHeight="1">
      <c r="A606" s="2" t="inlineStr">
        <is>
          <t>"q8mkh92@gmail.com" &lt;q8mkh92@gmail.com&gt;</t>
        </is>
      </c>
      <c r="B606" s="3" t="inlineStr">
        <is>
          <t>q8mkh92@gmail.com</t>
        </is>
      </c>
      <c r="C606" s="2">
        <f>?utf-8?B?2KfZhNin2LPZhSDYutmK2LEg2LXYrdmK2K0=?=</f>
        <v/>
      </c>
      <c r="D606" s="2" t="inlineStr">
        <is>
          <t>Hello! How can we help you?  Report النعيم فارس : 97727225   ‫أُرسلت من الـ iPhone‬</t>
        </is>
      </c>
      <c r="E606" s="4" t="inlineStr">
        <is>
          <t>97727225</t>
        </is>
      </c>
      <c r="F606" s="2" t="inlineStr">
        <is>
          <t>النعيم فارس</t>
        </is>
      </c>
      <c r="G606" s="4" t="inlineStr">
        <is>
          <t>97727225</t>
        </is>
      </c>
    </row>
    <row r="607" ht="18" customHeight="1">
      <c r="A607" s="5" t="inlineStr">
        <is>
          <t>Salem Alkhaldi &lt;salem.alkhaldi1982@gmail.com&gt;</t>
        </is>
      </c>
      <c r="B607" s="6" t="inlineStr">
        <is>
          <t>salem.alkhaldi1982@gmail.com</t>
        </is>
      </c>
      <c r="C607" s="5">
        <f>?utf-8?B?2KfYsdis2Ygg2YXYs9itINin2YTZhdmH2YbZhyDZiNmE2YPZhSA=?=  =?utf-8?B?2KfZhNi02YPYsSA=?=</f>
        <v/>
      </c>
      <c r="D607" s="5" t="inlineStr">
        <is>
          <t>Hello! How can we help you?  Report سالم الخالدي دعم العماله بوعبدالله- : 99454441   ‫أُرسلت من الـ iPhone‬</t>
        </is>
      </c>
      <c r="E607" s="7" t="inlineStr">
        <is>
          <t>99454441</t>
        </is>
      </c>
      <c r="F607" s="5" t="inlineStr">
        <is>
          <t>سالم الخالدي دعم العماله بوعبدالله-</t>
        </is>
      </c>
      <c r="G607" s="7" t="inlineStr">
        <is>
          <t>99454441</t>
        </is>
      </c>
    </row>
    <row r="608" ht="18" customHeight="1">
      <c r="A608" s="2" t="inlineStr">
        <is>
          <t>Anwar Rouhaldeen &lt;anaary977@gmail.com&gt;</t>
        </is>
      </c>
      <c r="B608" s="3" t="inlineStr">
        <is>
          <t>anaary977@gmail.com</t>
        </is>
      </c>
      <c r="C608" s="2" t="inlineStr"/>
      <c r="D608" s="2" t="inlineStr">
        <is>
          <t>Hello! How can we help you?  Report لولره- : 55588652  الاسم غلط   Sent from my iPhone</t>
        </is>
      </c>
      <c r="E608" s="4" t="inlineStr">
        <is>
          <t>55588652</t>
        </is>
      </c>
      <c r="F608" s="2" t="inlineStr">
        <is>
          <t>لولره-</t>
        </is>
      </c>
      <c r="G608" s="4" t="inlineStr">
        <is>
          <t>55588652</t>
        </is>
      </c>
    </row>
    <row r="609" ht="18" customHeight="1">
      <c r="A609" s="5" t="inlineStr">
        <is>
          <t>Mariam Aseri &lt;mariamaseri8@gmail.com&gt;</t>
        </is>
      </c>
      <c r="B609" s="6" t="inlineStr">
        <is>
          <t>mariamaseri8@gmail.com</t>
        </is>
      </c>
      <c r="C609" s="5" t="inlineStr"/>
      <c r="D609" s="5" t="inlineStr">
        <is>
          <t>Hello! How can we help you?  Report Nawal بيان : 60702057   Sent from my iPhone</t>
        </is>
      </c>
      <c r="E609" s="7" t="inlineStr">
        <is>
          <t>60702057</t>
        </is>
      </c>
      <c r="F609" s="5" t="inlineStr">
        <is>
          <t>Nawal بيان</t>
        </is>
      </c>
      <c r="G609" s="7" t="inlineStr">
        <is>
          <t>60702057</t>
        </is>
      </c>
    </row>
    <row r="610" ht="18" customHeight="1">
      <c r="A610" s="2" t="inlineStr">
        <is>
          <t>FaHaD AL-FaHaD &lt;fahadalfahad999@gmail.com&gt;</t>
        </is>
      </c>
      <c r="B610" s="3" t="inlineStr">
        <is>
          <t>fahadalfahad999@gmail.com</t>
        </is>
      </c>
      <c r="C610" s="2" t="inlineStr"/>
      <c r="D610" s="2" t="inlineStr">
        <is>
          <t>Hello! How can we help you?  Report Fofee : 99912321  It is un ethical can you remove it plz Sent from my iPhone</t>
        </is>
      </c>
      <c r="E610" s="4" t="inlineStr">
        <is>
          <t>99912321</t>
        </is>
      </c>
      <c r="F610" s="2" t="inlineStr">
        <is>
          <t>Fofee</t>
        </is>
      </c>
      <c r="G610" s="4" t="inlineStr">
        <is>
          <t>99912321</t>
        </is>
      </c>
    </row>
    <row r="611" ht="18" customHeight="1">
      <c r="A611" s="5" t="inlineStr">
        <is>
          <t>Mariam Aseri &lt;mariamaseri8@gmail.com&gt;</t>
        </is>
      </c>
      <c r="B611" s="6" t="inlineStr">
        <is>
          <t>mariamaseri8@gmail.com</t>
        </is>
      </c>
      <c r="C611" s="5" t="inlineStr"/>
      <c r="D611" s="5" t="inlineStr">
        <is>
          <t>Hello! How can we help you?  Report نوال حادي عشر ت بيان) : 60702057   Sent from my iPhone</t>
        </is>
      </c>
      <c r="E611" s="7" t="inlineStr">
        <is>
          <t>60702057</t>
        </is>
      </c>
      <c r="F611" s="5" t="inlineStr">
        <is>
          <t>نوال حادي عشر ت بيان)</t>
        </is>
      </c>
      <c r="G611" s="7" t="inlineStr">
        <is>
          <t>60702057</t>
        </is>
      </c>
    </row>
    <row r="612" ht="18" customHeight="1">
      <c r="A612" s="2" t="inlineStr">
        <is>
          <t>"q8mkh92@gmail.com" &lt;q8mkh92@gmail.com&gt;</t>
        </is>
      </c>
      <c r="B612" s="3" t="inlineStr">
        <is>
          <t>q8mkh92@gmail.com</t>
        </is>
      </c>
      <c r="C612" s="2">
        <f>?utf-8?B?2KfZhNin2LPZhSDYutmK2LEg2LXYrdmK2K0=?=</f>
        <v/>
      </c>
      <c r="D612" s="2" t="inlineStr">
        <is>
          <t>Hello! How can we help you?  Report ايجار بالنعيم- : 97727225   ‫أُرسلت من الـ iPhone‬</t>
        </is>
      </c>
      <c r="E612" s="4" t="inlineStr">
        <is>
          <t>97727225</t>
        </is>
      </c>
      <c r="F612" s="2" t="inlineStr">
        <is>
          <t>ايجار بالنعيم-</t>
        </is>
      </c>
      <c r="G612" s="4" t="inlineStr">
        <is>
          <t>97727225</t>
        </is>
      </c>
    </row>
    <row r="613" ht="18" customHeight="1">
      <c r="A613" s="5" t="inlineStr">
        <is>
          <t>Fatma Dashti &lt;fatmadashti33@gmail.com&gt;</t>
        </is>
      </c>
      <c r="B613" s="6" t="inlineStr">
        <is>
          <t>fatmadashti33@gmail.com</t>
        </is>
      </c>
      <c r="C613" s="5">
        <f>?utf-8?B?2YXYudmE2YjZhdin2Kog2K7Yp9i12Kk=?=</f>
        <v/>
      </c>
      <c r="D613" s="5" t="inlineStr">
        <is>
          <t>Hello! How can we help you?  Report القيروان 3 307 3 : 51170300   Sent from my iPhone</t>
        </is>
      </c>
      <c r="E613" s="7" t="inlineStr">
        <is>
          <t>51170300</t>
        </is>
      </c>
      <c r="F613" s="5" t="inlineStr">
        <is>
          <t>القيروان 3 307 3</t>
        </is>
      </c>
      <c r="G613" s="7" t="inlineStr">
        <is>
          <t>51170300</t>
        </is>
      </c>
    </row>
    <row r="614" ht="18" customHeight="1">
      <c r="A614" s="2" t="inlineStr">
        <is>
          <t>Fatema Arrfaj &lt;f6oum37@gmail.com&gt;</t>
        </is>
      </c>
      <c r="B614" s="3" t="inlineStr">
        <is>
          <t>f6oum37@gmail.com</t>
        </is>
      </c>
      <c r="C614" s="2">
        <f>?utf-8?B?2YXYs9it2YjZiNmI2YjZiNmHINmE2YrYtCDYqtix2K/ZiNmG2Ycg?=  =?utf-8?B?2KjZgdmH2YUgISEhIA==?=</f>
        <v/>
      </c>
      <c r="D614" s="2" t="inlineStr">
        <is>
          <t>Hello! How can we help you?  لو سمحتو مسحوه يسوي مشاكل عائليه !!!!! لي متى بدز لكم ايميلات تمسحونه يعني !!!!   Report سنيورين لبعض : 99957988   Sent from my iPhone</t>
        </is>
      </c>
      <c r="E614" s="4" t="inlineStr">
        <is>
          <t>99957988</t>
        </is>
      </c>
      <c r="F614" s="2" t="inlineStr">
        <is>
          <t>سنيورين لبعض</t>
        </is>
      </c>
      <c r="G614" s="4" t="inlineStr">
        <is>
          <t>99957988</t>
        </is>
      </c>
    </row>
    <row r="615" ht="18" customHeight="1">
      <c r="A615" s="5">
        <f>?utf-8?B?2LnYqNiv2KfZhNmE2Ycg2KfZhNi52KjYr9in2YTZhNmH?= &lt;5laak5laa@gmail.com&gt;</f>
        <v/>
      </c>
      <c r="B615" s="6" t="inlineStr">
        <is>
          <t>5laak5laa@gmail.com</t>
        </is>
      </c>
      <c r="C615" s="5">
        <f>?utf-8?B?2YTYp9mK2LnYrNio2YbZiiDYp9iz2YXZiiDZh9iw2Kcg2YTZitiz?=  =?utf-8?B?INin2LPZhdmK?=</f>
        <v/>
      </c>
      <c r="D615" s="5" t="inlineStr">
        <is>
          <t>Hello! How can we help you?  Report عبالله السعيد العويص : 55292423   ‫أُرسلت من الـ iPhone‬</t>
        </is>
      </c>
      <c r="E615" s="7" t="inlineStr">
        <is>
          <t>55292423</t>
        </is>
      </c>
      <c r="F615" s="5" t="inlineStr">
        <is>
          <t>عبالله السعيد العويص</t>
        </is>
      </c>
      <c r="G615" s="7" t="inlineStr">
        <is>
          <t>55292423</t>
        </is>
      </c>
    </row>
    <row r="616" ht="18" customHeight="1">
      <c r="A616" s="2" t="inlineStr">
        <is>
          <t>Fatima AlThunayan &lt;f.althunayan91@gmail.com&gt;</t>
        </is>
      </c>
      <c r="B616" s="3" t="inlineStr">
        <is>
          <t>f.althunayan91@gmail.com</t>
        </is>
      </c>
      <c r="C616" s="2" t="inlineStr"/>
      <c r="D616" s="2" t="inlineStr">
        <is>
          <t xml:space="preserve"> عيب  This is very disrespectful      Hello! How can we help you?  Report Bint Elhailega- : 96905000  </t>
        </is>
      </c>
      <c r="E616" s="4" t="inlineStr">
        <is>
          <t>96905000</t>
        </is>
      </c>
      <c r="F616" s="2" t="inlineStr">
        <is>
          <t>Bint Elhailega-</t>
        </is>
      </c>
      <c r="G616" s="4" t="inlineStr">
        <is>
          <t>96905000</t>
        </is>
      </c>
    </row>
    <row r="617" ht="18" customHeight="1">
      <c r="A617" s="5" t="inlineStr">
        <is>
          <t>Abdullah &lt;lt.abdulla.alwatyan@gmail.com&gt;</t>
        </is>
      </c>
      <c r="B617" s="6" t="inlineStr">
        <is>
          <t>lt.abdulla.alwatyan@gmail.com</t>
        </is>
      </c>
      <c r="C617" s="5">
        <f>?utf-8?B?2KfYs9in2KbZhw==?=</f>
        <v/>
      </c>
      <c r="D617" s="5" t="inlineStr">
        <is>
          <t>﻿ Hello! How can we help you?  Report عبداللة هوز 1 بيحب يمص حبووب : 50778592   Sent from my iPhone</t>
        </is>
      </c>
      <c r="E617" s="7" t="inlineStr">
        <is>
          <t>50778592</t>
        </is>
      </c>
      <c r="F617" s="5" t="inlineStr">
        <is>
          <t>عبداللة هوز 1 بيحب يمص حبووب</t>
        </is>
      </c>
      <c r="G617" s="7" t="inlineStr">
        <is>
          <t>50778592</t>
        </is>
      </c>
    </row>
    <row r="618" ht="18" customHeight="1">
      <c r="A618" s="2" t="inlineStr">
        <is>
          <t>"Talal.alqarawi" &lt;talal.alqarawi@gmail.com&gt;</t>
        </is>
      </c>
      <c r="B618" s="3" t="inlineStr">
        <is>
          <t>talal.alqarawi@gmail.com</t>
        </is>
      </c>
      <c r="C618" s="2">
        <f>?utf-8?B?2KjZitin2YbYp9iqINiu2KfYtdmHINmK2LHYrNmJINmF2LPYrdmH?=  =?utf-8?B?2Kc=?=</f>
        <v/>
      </c>
      <c r="D618" s="2" t="inlineStr">
        <is>
          <t>Hello! How can we help you?  Report بوعبدالرحمن صاحب بيت الوفرة ق 1 ش 108 قسيمة 292 : 94100511   Sent from my iPhone</t>
        </is>
      </c>
      <c r="E618" s="4" t="inlineStr">
        <is>
          <t>94100511</t>
        </is>
      </c>
      <c r="F618" s="2" t="inlineStr">
        <is>
          <t>بوعبدالرحمن صاحب بيت الوفرة ق 1 ش 108 قسيمة 292</t>
        </is>
      </c>
      <c r="G618" s="4" t="inlineStr">
        <is>
          <t>94100511</t>
        </is>
      </c>
    </row>
    <row r="619" ht="18" customHeight="1">
      <c r="A619" s="5">
        <f>?utf-8?B?2LnYqNiv2KfZhNmE2Ycg2KfZhNi52YbYstmK?= &lt;aa.b.aq8@gmail.com&gt;</f>
        <v/>
      </c>
      <c r="B619" s="6" t="inlineStr">
        <is>
          <t>aa.b.aq8@gmail.com</t>
        </is>
      </c>
      <c r="C619" s="5">
        <f>?utf-8?Q?=D8=A7=D8=B1=D8=AC=D9=88_=D9=85=D8=B3=D8=AD_=D8=B1?=  =?utf-8?Q?=D9=82=D9=85=D9=8A_=D9=85=D9=86_=D9=85=D9=86=D9=88_?=  =?utf-8?Q?=D8=AF=D8=A7=D9=82_99419543?=</f>
        <v/>
      </c>
      <c r="D619" s="5" t="inlineStr">
        <is>
          <t>Hello! How can we help you?  Report مشعل بدر- : 99419543   ‫أُرسلت من الـ iPhone‬</t>
        </is>
      </c>
      <c r="E619" s="7" t="inlineStr">
        <is>
          <t>99419543</t>
        </is>
      </c>
      <c r="F619" s="5" t="inlineStr">
        <is>
          <t>مشعل بدر-</t>
        </is>
      </c>
      <c r="G619" s="7" t="inlineStr">
        <is>
          <t>99419543</t>
        </is>
      </c>
    </row>
    <row r="620" ht="18" customHeight="1">
      <c r="A620" s="2">
        <f>?utf-8?B?2LnYqNiv2KfZhNmE2Ycg2KfZhNi52YbYstmK?= &lt;aa.b.aq8@gmail.com&gt;</f>
        <v/>
      </c>
      <c r="B620" s="3" t="inlineStr">
        <is>
          <t>aa.b.aq8@gmail.com</t>
        </is>
      </c>
      <c r="C620" s="2">
        <f>?utf-8?Q?=D8=A7=D8=B1=D8=AC=D9=88_=D9=85=D8=B3=D8=AD_=D8=B1?=  =?utf-8?Q?=D9=82=D9=85=D9=8A_=D9=85=D9=86_=D9=85=D9=86=D9=88_?=  =?utf-8?Q?=D8=AF=D8=A7=D9=82_99419485?=</f>
        <v/>
      </c>
      <c r="D620" s="2" t="inlineStr">
        <is>
          <t>Hello! How can we help you?  Report مشاري- : 99419485   ‫أُرسلت من الـ iPhone‬</t>
        </is>
      </c>
      <c r="E620" s="4" t="inlineStr">
        <is>
          <t>99419485</t>
        </is>
      </c>
      <c r="F620" s="2" t="inlineStr">
        <is>
          <t>مشاري-</t>
        </is>
      </c>
      <c r="G620" s="4" t="inlineStr">
        <is>
          <t>99419485</t>
        </is>
      </c>
    </row>
    <row r="621" ht="18" customHeight="1">
      <c r="A621" s="5" t="inlineStr">
        <is>
          <t>Meshal Abdullah &lt;ku90906010@hotmail.com&gt;</t>
        </is>
      </c>
      <c r="B621" s="6" t="inlineStr">
        <is>
          <t>ku90906010@hotmail.com</t>
        </is>
      </c>
      <c r="C621" s="5" t="inlineStr"/>
      <c r="D621" s="5" t="inlineStr">
        <is>
          <t xml:space="preserve">Hello! How can we help you?  Report مشعل هادي الطاهري : 90906010  ‫أُرسلت من الـ iPhone‬ </t>
        </is>
      </c>
      <c r="E621" s="7" t="inlineStr">
        <is>
          <t>90906010</t>
        </is>
      </c>
      <c r="F621" s="5" t="inlineStr">
        <is>
          <t>مشعل هادي الطاهري</t>
        </is>
      </c>
      <c r="G621" s="7" t="inlineStr">
        <is>
          <t>90906010</t>
        </is>
      </c>
    </row>
    <row r="622" ht="18" customHeight="1">
      <c r="A622" s="2" t="inlineStr">
        <is>
          <t>Fahad Sbahi &lt;Fahad.sbahi@hotmail.com&gt;</t>
        </is>
      </c>
      <c r="B622" s="3" t="inlineStr">
        <is>
          <t>Fahad.sbahi@hotmail.com</t>
        </is>
      </c>
      <c r="C622" s="2">
        <f>?utf-8?B?2K3YsNmBINin2YTYp9iz2YUg2YrYs9io2Kgg2YXYtNin2YPZhCDYudin2KY=?=  =?utf-8?B?2YTZitmHINmI2LLZiNis2YrZhw==?=</f>
        <v/>
      </c>
      <c r="D622" s="2" t="inlineStr">
        <is>
          <t xml:space="preserve">حذف الاسم يسبب مشاكل عائليه وزوجيه  Report أبو-سباهي : 67669225  ‫أُرسلت من الـ iPhone‬ </t>
        </is>
      </c>
      <c r="E622" s="4" t="inlineStr">
        <is>
          <t>67669225</t>
        </is>
      </c>
      <c r="F622" s="2" t="inlineStr">
        <is>
          <t>أبو-سباهي</t>
        </is>
      </c>
      <c r="G622" s="4" t="inlineStr">
        <is>
          <t>67669225</t>
        </is>
      </c>
    </row>
    <row r="623" ht="18" customHeight="1">
      <c r="A623" s="5" t="inlineStr">
        <is>
          <t>"Sakina T. Al Azmi" &lt;s.alazmi@hotmail.com&gt;</t>
        </is>
      </c>
      <c r="B623" s="6" t="inlineStr">
        <is>
          <t>s.alazmi@hotmail.com</t>
        </is>
      </c>
      <c r="C623" s="5">
        <f>?utf-8?B?2KfZhNi62KfYoSDYp9mE2LHZgtmFINmI2LDZhNmDINmE2YjYrNmI2K8g2LE=?=  =?utf-8?B?2YLZhdmKINin2YTZhdiv2YbZig==?=</f>
        <v/>
      </c>
      <c r="D623" s="5" t="inlineStr">
        <is>
          <t xml:space="preserve">Hello! How can we help you?  Report سكينه العازمي 283062301266 : 66293934  Sent from my iPhone </t>
        </is>
      </c>
      <c r="E623" s="7" t="inlineStr">
        <is>
          <t>66293934</t>
        </is>
      </c>
      <c r="F623" s="5" t="inlineStr">
        <is>
          <t>سكينه العازمي 283062301266</t>
        </is>
      </c>
      <c r="G623" s="7" t="inlineStr">
        <is>
          <t>66293934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2026-04-12T17:34:57Z</dcterms:created>
  <dcterms:modified xsi:type="dcterms:W3CDTF">2026-04-12T17:34:58Z</dcterms:modified>
</cp:coreProperties>
</file>