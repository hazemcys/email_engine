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10"/>
    </font>
  </fonts>
  <fills count="5">
    <fill>
      <patternFill/>
    </fill>
    <fill>
      <patternFill patternType="gray125"/>
    </fill>
    <fill>
      <patternFill patternType="solid">
        <fgColor rgb="001F4E79"/>
      </patternFill>
    </fill>
    <fill>
      <patternFill patternType="solid">
        <fgColor rgb="00EDF4FC"/>
      </patternFill>
    </fill>
    <fill>
      <patternFill patternType="solid">
        <fgColor rgb="00FFFFFF"/>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right" vertical="center"/>
    </xf>
    <xf numFmtId="0" fontId="2" fillId="3" borderId="0" applyAlignment="1" pivotButton="0" quotePrefix="0" xfId="0">
      <alignment horizontal="left" vertical="center"/>
    </xf>
    <xf numFmtId="49" fontId="2" fillId="3" borderId="0" applyAlignment="1" pivotButton="0" quotePrefix="0" xfId="0">
      <alignment horizontal="center" vertical="center"/>
    </xf>
    <xf numFmtId="0" fontId="2" fillId="4" borderId="0" applyAlignment="1" pivotButton="0" quotePrefix="0" xfId="0">
      <alignment horizontal="right" vertical="center"/>
    </xf>
    <xf numFmtId="0" fontId="2" fillId="4" borderId="0" applyAlignment="1" pivotButton="0" quotePrefix="0" xfId="0">
      <alignment horizontal="left" vertical="center"/>
    </xf>
    <xf numFmtId="49" fontId="2" fillId="4"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4"/>
  <sheetViews>
    <sheetView workbookViewId="0">
      <pane ySplit="1" topLeftCell="A2" activePane="bottomLeft" state="frozen"/>
      <selection pane="bottomLeft" activeCell="A1" sqref="A1"/>
    </sheetView>
  </sheetViews>
  <sheetFormatPr baseColWidth="8" defaultRowHeight="15"/>
  <cols>
    <col width="38" customWidth="1" min="1" max="1"/>
    <col width="32" customWidth="1" min="2" max="2"/>
    <col width="42" customWidth="1" min="3" max="3"/>
    <col width="68" customWidth="1" min="4" max="4"/>
    <col width="25" customWidth="1" min="5" max="5"/>
    <col width="22" customWidth="1" min="6" max="6"/>
  </cols>
  <sheetData>
    <row r="1" ht="22" customHeight="1">
      <c r="A1" s="1" t="inlineStr">
        <is>
          <t>sender_id</t>
        </is>
      </c>
      <c r="B1" s="1" t="inlineStr">
        <is>
          <t>sender_email</t>
        </is>
      </c>
      <c r="C1" s="1" t="inlineStr">
        <is>
          <t>title</t>
        </is>
      </c>
      <c r="D1" s="1" t="inlineStr">
        <is>
          <t>body</t>
        </is>
      </c>
      <c r="E1" s="1" t="inlineStr">
        <is>
          <t>phones</t>
        </is>
      </c>
      <c r="F1" s="1" t="inlineStr">
        <is>
          <t>stage</t>
        </is>
      </c>
    </row>
    <row r="2" ht="18" customHeight="1">
      <c r="A2" s="2" t="inlineStr">
        <is>
          <t>a al3skr &lt;a.al3skr@hotmail.com&gt;</t>
        </is>
      </c>
      <c r="B2" s="3" t="inlineStr">
        <is>
          <t>a.al3skr@hotmail.com</t>
        </is>
      </c>
      <c r="C2" s="2">
        <f>?utf-8?B?2KjZhNmI2YM=?=</f>
        <v/>
      </c>
      <c r="D2" s="2" t="inlineStr">
        <is>
          <t xml:space="preserve">السلام عليكم  دفعت رسوم بلوك ولم يتم عمل البلوك لرقمي يرجى تفعيل البلوك على رقمي باسرع وقت ممكن على الرقم 55664468  ‫أُرسلت من الـ iPhone‬ </t>
        </is>
      </c>
      <c r="E2" s="4" t="inlineStr">
        <is>
          <t>55664468</t>
        </is>
      </c>
      <c r="F2" s="3" t="n">
        <v>4</v>
      </c>
    </row>
    <row r="3" ht="18" customHeight="1">
      <c r="A3" s="5" t="inlineStr">
        <is>
          <t>alasas@gmx.com</t>
        </is>
      </c>
      <c r="B3" s="6" t="inlineStr">
        <is>
          <t>alasas@gmx.com</t>
        </is>
      </c>
      <c r="C3" s="5">
        <f>?utf-8?B?2LTZg9mI2Yk=?=</f>
        <v/>
      </c>
      <c r="D3" s="5" t="inlineStr">
        <is>
          <t>Hello! How can we help   انا اشتركت في خدمة اخفاء الرقم "0096551011133" في تاريخ 27/4/2025 لمدة سنة فلماذا يتم الغاء االخدمة؟ هذا مخالف للشروط اللي بينا والمصداقية  غير صحيحة  فالرجاء ارجاع الخدمة  ‫أُرسلت من الـ iPhone‬</t>
        </is>
      </c>
      <c r="E3" s="7" t="inlineStr">
        <is>
          <t>51011133</t>
        </is>
      </c>
      <c r="F3" s="6" t="n">
        <v>4</v>
      </c>
    </row>
    <row r="4" ht="18" customHeight="1">
      <c r="A4" s="2" t="inlineStr">
        <is>
          <t>SH &lt;shuuuog@gmail.com&gt;</t>
        </is>
      </c>
      <c r="B4" s="3" t="inlineStr">
        <is>
          <t>shuuuog@gmail.com</t>
        </is>
      </c>
      <c r="C4" s="2">
        <f>?UTF-8?B?2LfZhNioINil2LnYp9iv2Kkg2KXYuNmH2KfYsSDYsdmC2YXZiiDZgdmKINin2YTYqNit?= 	=?UTF-8?B?2Ksg2KjYudivINit2LDZgdmHINio2KfZhNiu2LfYow==?=</f>
        <v/>
      </c>
      <c r="D4" s="2" t="inlineStr">
        <is>
          <t xml:space="preserve">السلام عليكم ورحمة الله وبركاته،   أنا صاحبة الرقم +965 99641100، وقد تم حذف الرقم من نتائج البحث في تطبيق منو داق عن طريق الخطأ بعد أن طلبت سابقًا تعديل الأسماء المرتبطة به.   أود التأكيد أن طلبي السابق لم يكن حذف الرقم نهائيًا، وإنما فقط تعديل الأسماء.   أرجو منكم إعادة تفعيل ظهور الرقم في البحث وإرجاعه إلى قاعدة البيانات، وأؤكد أني لا أرغب بحذف الرقم إطلاقًا.   الاسم المطلوب تثبيته عند إعادة الرقم هو: شوق الجناعي   مع خالص الشكر والتقدير لتعاونكم،   الاسم: شوق الجناعي  الرقم: +965 99641100 </t>
        </is>
      </c>
      <c r="E4" s="4" t="inlineStr">
        <is>
          <t>99641100</t>
        </is>
      </c>
      <c r="F4" s="3" t="n">
        <v>4</v>
      </c>
    </row>
    <row r="5" ht="18" customHeight="1">
      <c r="A5" s="5" t="inlineStr">
        <is>
          <t>SH &lt;shuuuog@gmail.com&gt;</t>
        </is>
      </c>
      <c r="B5" s="6" t="inlineStr">
        <is>
          <t>shuuuog@gmail.com</t>
        </is>
      </c>
      <c r="C5" s="5">
        <f>?UTF-8?B?2KfZhNmF2YjYttmI2Lk6INi32YTYqCDYqti52K/ZitmEINmI2KrZiNir2YrZgiDYp9mE?= 	=?UTF-8?B?2KPYs9mF2KfYoSDYp9mE2K7Yp9i12Kkg2KjYsdmC2YUg2KfZhNmH2KfYqtmB?=</f>
        <v/>
      </c>
      <c r="D5" s="5" t="inlineStr">
        <is>
          <t>السلام عليكم ورحمة الله وبركاته،   أنا صاحبة الرقم 99641100 965+ وأرغب بتحديث الأسماء المرتبطة برقمي في تطبيق منو داق، وتصحيحها فقط دون حذف أو إخفاء الرقم من نتائج البحث — أكرر أن طلبي هو التعديل فقط وليس الحذف.   هذه الأسماء القديمة التي أرجو تعديلها إلى الأسماء الجديدة التالية:   خالد ← شوق الجناعي  Shoug Aljna3i ← F R L N. 2  Shouq ← kalled Al saba  ابو فهد ← Shouq Aljenaei  ال خالد السالم ← Shoug aljenaie  fatooma Alsabah ← شواقه الجناعي  Khaled Salem Aaziz ← شوق بدر القناعي  Shwaga ← Khalid      كما أرجو إضافة وتوثيق الأسماء التالية أيضًا لتكون مرتبطة برقمي في قاعدة البيانات:   شواقه  بنيتي  شوق القناعي  Shwagti  شوق الجناعي  شواقه القناعي  Shoug Aljenaiee  البدر القناعي  Shoug Albader  ...</t>
        </is>
      </c>
      <c r="E5" s="7" t="inlineStr">
        <is>
          <t>99641100</t>
        </is>
      </c>
      <c r="F5" s="6" t="n">
        <v>4</v>
      </c>
    </row>
    <row r="6" ht="18" customHeight="1">
      <c r="A6" s="2" t="inlineStr">
        <is>
          <t>Cordova 1 &lt;cordova.1@hotmail.com&gt;</t>
        </is>
      </c>
      <c r="B6" s="3" t="inlineStr">
        <is>
          <t>cordova.1@hotmail.com</t>
        </is>
      </c>
      <c r="C6" s="2">
        <f>?iso-8859-6?B?1+TIIM3Q4SDR4uU=?=</f>
        <v/>
      </c>
      <c r="D6" s="2" t="inlineStr">
        <is>
          <t xml:space="preserve">���� ��� ������� ������� ������� ��� ����� 67666066    Lashes Maha Alshayea  ����� �4  6010  Lashes  ��� ��� ������ ������� ������ ����� �����  ��� ������ (����� ������)-  �- ��� ��� ��������� ������ ����� ������ �������  Qurtaba  ��������  ����  ������� ���� ����� ����� ����Ǭ � ������� ��� ������ ����� ��ʬ � ������� ���� ����� </t>
        </is>
      </c>
      <c r="E6" s="4" t="inlineStr">
        <is>
          <t>67666066</t>
        </is>
      </c>
      <c r="F6" s="3" t="n">
        <v>4</v>
      </c>
    </row>
    <row r="7" ht="18" customHeight="1">
      <c r="A7" s="5" t="inlineStr">
        <is>
          <t>Sara Alotaibi &lt;Alotaibi_sara@outlook.com&gt;</t>
        </is>
      </c>
      <c r="B7" s="6" t="inlineStr">
        <is>
          <t>Alotaibi_sara@outlook.com</t>
        </is>
      </c>
      <c r="C7" s="5" t="inlineStr">
        <is>
          <t>Re: I want to delete it please ???</t>
        </is>
      </c>
      <c r="D7" s="5" t="inlineStr">
        <is>
          <t>السلام عليكم قبل تواصلت معاكم بخصوص البلوك وقلتولي فعلي الخدمه وبنفعلها لج مدى الحياة وقبل فتره دازين لي مسج ان انتهى اشتراكي وكلمتكم وشلتوه والحين رديتوه ! مع العلم ان اكثر من مره يصير جذي وانتو قايلين مدى الحياة ممكن تشوفون الموضوع !؟ 66998202 [image0.jpeg]  On 11 Apr 2025, at 8:45 AM, Menodag Sales &lt;sales@menodag.com&gt; wrote:  ﻿ Sorry check now  On Fri, Mar 21, 2025 at 4:07 AM Sara Alotaibi &lt;Alotaibi_sara@outlook.com&lt;mailto:Alotaibi_sara@outlook.com&gt;&gt; wrote: السلام عليكم قبل تواصلت معاكم بخصوص البلوك وقلتولي فعلي الخدمه وبنفعلها لج مدى الحياة وقبل فتره دازين لي مسج ان انتهى اشتراكي وكلمتكم وشلتوه والحين رديتوه ! مع العلم ان اكثر من مره يصير جذي وانتو قايلين مدى الحياة ممكن تشوفون الموضوع ! ...</t>
        </is>
      </c>
      <c r="E7" s="7" t="inlineStr">
        <is>
          <t>66998202</t>
        </is>
      </c>
      <c r="F7" s="6" t="n">
        <v>4</v>
      </c>
    </row>
    <row r="8" ht="18" customHeight="1">
      <c r="A8" s="2" t="inlineStr">
        <is>
          <t>Mohammed Alqassem &lt;mynup98@gmail.com&gt;</t>
        </is>
      </c>
      <c r="B8" s="3" t="inlineStr">
        <is>
          <t>mynup98@gmail.com</t>
        </is>
      </c>
      <c r="C8" s="2">
        <f>?UTF-8?B?2YHZiiDYtNmKINi62YTYtw==?=</f>
        <v/>
      </c>
      <c r="D8" s="2" t="inlineStr">
        <is>
          <t xml:space="preserve">السلام عليكم بخصوص البلوك على الرقم كل 6 شهور دزولي خلص الاشتراك ؟؟؟؟ 69666645 ما يصير الكلام هذا </t>
        </is>
      </c>
      <c r="E8" s="4" t="inlineStr">
        <is>
          <t>69666645</t>
        </is>
      </c>
      <c r="F8" s="3" t="n">
        <v>4</v>
      </c>
    </row>
    <row r="9" ht="18" customHeight="1">
      <c r="A9" s="5" t="inlineStr">
        <is>
          <t>Noor Amir &lt;nooraliis@hotmail.com&gt;</t>
        </is>
      </c>
      <c r="B9" s="6" t="inlineStr">
        <is>
          <t>nooraliis@hotmail.com</t>
        </is>
      </c>
      <c r="C9" s="5" t="inlineStr"/>
      <c r="D9" s="5" t="inlineStr">
        <is>
          <t xml:space="preserve">إخفاء رقم 99614328   Sent from my iPhone </t>
        </is>
      </c>
      <c r="E9" s="7" t="inlineStr">
        <is>
          <t>99614328</t>
        </is>
      </c>
      <c r="F9" s="6" t="n">
        <v>4</v>
      </c>
    </row>
    <row r="10" ht="18" customHeight="1">
      <c r="A10" s="2" t="inlineStr">
        <is>
          <t>Heba Alhashemi &lt;h.89.hashemi89@gmail.com&gt;</t>
        </is>
      </c>
      <c r="B10" s="3" t="inlineStr">
        <is>
          <t>h.89.hashemi89@gmail.com</t>
        </is>
      </c>
      <c r="C10" s="2">
        <f>?UTF-8?B?2LfZhNioINit2LDZgSDYsdmC2YU=?=</f>
        <v/>
      </c>
      <c r="D10" s="2" t="inlineStr">
        <is>
          <t xml:space="preserve">66440833 </t>
        </is>
      </c>
      <c r="E10" s="4" t="inlineStr">
        <is>
          <t>66440833</t>
        </is>
      </c>
      <c r="F10" s="3" t="n">
        <v>4</v>
      </c>
    </row>
    <row r="11" ht="18" customHeight="1">
      <c r="A11" s="5" t="inlineStr">
        <is>
          <t>Heba Alhashemi &lt;h.89.hashemi89@gmail.com&gt;</t>
        </is>
      </c>
      <c r="B11" s="6" t="inlineStr">
        <is>
          <t>h.89.hashemi89@gmail.com</t>
        </is>
      </c>
      <c r="C11" s="5">
        <f>?UTF-8?B?2LfZhNioINit2LDZgSDYsdmC2YU=?=</f>
        <v/>
      </c>
      <c r="D11" s="5" t="inlineStr">
        <is>
          <t xml:space="preserve">97970373 </t>
        </is>
      </c>
      <c r="E11" s="7" t="inlineStr">
        <is>
          <t>97970373</t>
        </is>
      </c>
      <c r="F11" s="6" t="n">
        <v>4</v>
      </c>
    </row>
    <row r="12" ht="18" customHeight="1">
      <c r="A12" s="2" t="inlineStr">
        <is>
          <t>Feras Sami &lt;feras_20133@hotmail.com&gt;</t>
        </is>
      </c>
      <c r="B12" s="3" t="inlineStr">
        <is>
          <t>feras_20133@hotmail.com</t>
        </is>
      </c>
      <c r="C12" s="2">
        <f>?iso-8859-6?B?IMfTx8HnIOTqIMfT5eogx+TZ0cfi6iDo1c/q4srqIMfk1c/o4ucg4dfo?=  =?iso-8859-6?B?5ecg?=</f>
        <v/>
      </c>
      <c r="D12" s="2" t="inlineStr">
        <is>
          <t xml:space="preserve">���� ��� 66363659  ���� ��� Outlook �� iOS&lt;https://aka.ms/o0ukef&gt; </t>
        </is>
      </c>
      <c r="E12" s="4" t="inlineStr">
        <is>
          <t>66363659</t>
        </is>
      </c>
      <c r="F12" s="3" t="n">
        <v>4</v>
      </c>
    </row>
    <row r="13" ht="18" customHeight="1">
      <c r="A13" s="5" t="inlineStr">
        <is>
          <t>saad alotaibi &lt;mskltk22@yahoo.com&gt;</t>
        </is>
      </c>
      <c r="B13" s="6" t="inlineStr">
        <is>
          <t>mskltk22@yahoo.com</t>
        </is>
      </c>
      <c r="C13" s="5">
        <f>?utf-8?B?2LfZhNioINi52KfYrNmEIA==?=</f>
        <v/>
      </c>
      <c r="D13" s="5" t="inlineStr">
        <is>
          <t xml:space="preserve">السلام عليكم شريت خط جديد اليوم و بحثت عن الرقم في برنامجكم و يبدو ان الرقم لبنت و فيه الفاظ عنصرية ، رجاءا حذف جميع الاسماء من هذا الرقم 50020166 وجعله جديد وشكراً  </t>
        </is>
      </c>
      <c r="E13" s="7" t="inlineStr">
        <is>
          <t>50020166</t>
        </is>
      </c>
      <c r="F13" s="6" t="n">
        <v>4</v>
      </c>
    </row>
    <row r="14" ht="18" customHeight="1">
      <c r="A14" s="2" t="inlineStr">
        <is>
          <t>"Mohammad ....." &lt;piwr@hotmail.com&gt;</t>
        </is>
      </c>
      <c r="B14" s="3" t="inlineStr">
        <is>
          <t>piwr@hotmail.com</t>
        </is>
      </c>
      <c r="C14" s="2">
        <f>?utf-8?B?2LfZhNioINit2LDZgSDYsdmC2YU=?=</f>
        <v/>
      </c>
      <c r="D14" s="2" t="inlineStr">
        <is>
          <t xml:space="preserve">66116602  السلام عليكم، كل الاسامي الموجوده غلط ولا لها اي علاقه فيني.  وعلى فكرة كنت داعم لكم بالتبرع 4 شهور لما وقفوا البرنامج من جم سنة 🌹  تحياتي. </t>
        </is>
      </c>
      <c r="E14" s="4" t="inlineStr">
        <is>
          <t>66116602</t>
        </is>
      </c>
      <c r="F14" s="3" t="n">
        <v>4</v>
      </c>
    </row>
    <row r="15" ht="18" customHeight="1">
      <c r="A15" s="5" t="inlineStr">
        <is>
          <t>fahad al-shualah &lt;al_shualah65@hotmail.com&gt;</t>
        </is>
      </c>
      <c r="B15" s="6" t="inlineStr">
        <is>
          <t>al_shualah65@hotmail.com</t>
        </is>
      </c>
      <c r="C15" s="5" t="inlineStr"/>
      <c r="D15" s="5" t="inlineStr">
        <is>
          <t xml:space="preserve">Hello! How can we help you?  ‫أُرسلت السلام عليكم دفعت الرسوم لحجب رقمي 66884644 ولكن لم يتم حجب الرقممن الـ iPhone‬ </t>
        </is>
      </c>
      <c r="E15" s="7" t="inlineStr">
        <is>
          <t>66884644</t>
        </is>
      </c>
      <c r="F15" s="6" t="n">
        <v>4</v>
      </c>
    </row>
    <row r="16" ht="18" customHeight="1">
      <c r="A16" s="2" t="inlineStr">
        <is>
          <t>Ammar Hameed Ali AHMAD &lt;ammar@moi.gov.kw&gt;</t>
        </is>
      </c>
      <c r="B16" s="3" t="inlineStr">
        <is>
          <t>ammar@moi.gov.kw</t>
        </is>
      </c>
      <c r="C16" s="2" t="inlineStr">
        <is>
          <t>immediate action to delete and remove all related data as detailed (  highly Confidential )</t>
        </is>
      </c>
      <c r="D16" s="2" t="inlineStr">
        <is>
          <t>Dear True caller Privacy Team,  Dear MENODAG ��� ��� Privacy Team,  Dear MENOMA3AY ��� ���� Privacy Team,  Dear menomota9el ��� ���� Privacy Team,  Please find attached an official letter from the Electronics &amp; Cyber Crime Combating Department, Ministry of Interior � State of Kuwait, regarding a Privacy Violation Removal Request.  The request concerns the unauthorized exposure of personal information belonging to several Kuwaiti officials and citizens, and we kindly ask for your immediate action to delete and remove all related data as detailed in the attached document.  For verification or further correspondence, you may contact us directly through the official email ammar@moi.gov.kw or by  ...</t>
        </is>
      </c>
      <c r="E16" s="4" t="inlineStr">
        <is>
          <t>60069600</t>
        </is>
      </c>
      <c r="F16" s="3" t="n">
        <v>4</v>
      </c>
    </row>
    <row r="17" ht="18" customHeight="1">
      <c r="A17" s="5" t="inlineStr">
        <is>
          <t>ahmad warriory &lt;warriory2@gmail.com&gt;</t>
        </is>
      </c>
      <c r="B17" s="6" t="inlineStr">
        <is>
          <t>warriory2@gmail.com</t>
        </is>
      </c>
      <c r="C17" s="5">
        <f>?utf-8?B?2KfYstmE2Kog2LHZgtmF2Yog2YXZhiDZhti22YUg2YTYr9mK2YM=?=  =?utf-8?B?2YU=?=</f>
        <v/>
      </c>
      <c r="D17" s="5" t="inlineStr">
        <is>
          <t>ازلت رقمي من نضم لديكم  55666203     ‫أُرسلت من الـ iPhone‬</t>
        </is>
      </c>
      <c r="E17" s="7" t="inlineStr">
        <is>
          <t>55666203</t>
        </is>
      </c>
      <c r="F17" s="6" t="n">
        <v>4</v>
      </c>
    </row>
    <row r="18" ht="18" customHeight="1">
      <c r="A18" s="2" t="inlineStr">
        <is>
          <t>Hussain Alrajhy &lt;hussain.alrajhy@gmail.com&gt;</t>
        </is>
      </c>
      <c r="B18" s="3" t="inlineStr">
        <is>
          <t>hussain.alrajhy@gmail.com</t>
        </is>
      </c>
      <c r="C18" s="2">
        <f>?UTF-8?B?2YfYp9mFINis2K/Yp9mL?=</f>
        <v/>
      </c>
      <c r="D18" s="2" t="inlineStr">
        <is>
          <t xml:space="preserve">استناداً على حقي القانوني بعدم افصاح عن بينات رقمي .. علماً بان لدي كياني قانوني لايسمح لي بالافصاح عن اي معلومه .. وافصاحكم عن اسمي ورقمي يسبب لي الأذى والازعاج ، فـ اتمنى من فضلكم وحضراتكم عدم ظهور بيانات رقمي ببرنامجكم .. حيث انه الاسباب تبرهن علاقتي الوظيفيه بعدم الافصاح مع كامل الشكر والتقدير والعرفان  الرقم : 94972258 </t>
        </is>
      </c>
      <c r="E18" s="4" t="inlineStr">
        <is>
          <t>94972258</t>
        </is>
      </c>
      <c r="F18" s="3" t="n">
        <v>4</v>
      </c>
    </row>
    <row r="19" ht="18" customHeight="1">
      <c r="A19" s="5" t="inlineStr">
        <is>
          <t>Heba Alhashemi &lt;h.89.hashemi89@gmail.com&gt;</t>
        </is>
      </c>
      <c r="B19" s="6" t="inlineStr">
        <is>
          <t>h.89.hashemi89@gmail.com</t>
        </is>
      </c>
      <c r="C19" s="5">
        <f>?UTF-8?B?UmU6INiq2YUg2YXYs9itINin2YTYp9iz2YUv2KfZhNix2YLZhSDYp9mE2YXYt9mE2YjYqA==?=</f>
        <v/>
      </c>
      <c r="D19" s="5" t="inlineStr">
        <is>
          <t xml:space="preserve">الرجاء مسح رقم 66440833 من برنامج منو داق  On Fri, Apr 11, 2025, 8:50 a.m. Menodag Sales &lt;sales@menodag.com&gt; wrote:  &gt; &gt; </t>
        </is>
      </c>
      <c r="E19" s="7" t="inlineStr">
        <is>
          <t>66440833</t>
        </is>
      </c>
      <c r="F19" s="6" t="n">
        <v>4</v>
      </c>
    </row>
    <row r="20" ht="18" customHeight="1">
      <c r="A20" s="2" t="inlineStr">
        <is>
          <t>Hussain Alrajhy &lt;hussain.alrajhy@gmail.com&gt;</t>
        </is>
      </c>
      <c r="B20" s="3" t="inlineStr">
        <is>
          <t>hussain.alrajhy@gmail.com</t>
        </is>
      </c>
      <c r="C20" s="2">
        <f>?UTF-8?B?UmU6INmH2KfZhSDYrNiv2KfZiyDYrNiv2KfZiw==?=</f>
        <v/>
      </c>
      <c r="D20" s="2" t="inlineStr">
        <is>
          <t xml:space="preserve">On Mon, 27 Oct 2025 at 5:34 PM Hussain Alrajhy &lt;hussain.alrajhy@gmail.com&gt; wrote:  &gt; استناداً على حقي القانوني بعدم افصاح عن بينات رقمي .. علماً بان لدي كياني &gt; قانوني لايسمح لي بالافصاح عن اي معلومه .. وافصاحكم عن اسمي ورقمي يسبب لي &gt; الأذى والازعاج ، فـ اتمنى من فضلكم وحضراتكم عدم ظهور بيانات رقمي ببرنامجكم &gt; .. حيث انه الاسباب تبرهن علاقتي الوظيفيه بعدم الافصاح مع كامل الشكر &gt; والتقدير والعرفان &gt; &gt; الرقم : 94972258 &gt; </t>
        </is>
      </c>
      <c r="E20" s="4" t="inlineStr">
        <is>
          <t>94972258</t>
        </is>
      </c>
      <c r="F20" s="3" t="n">
        <v>4</v>
      </c>
    </row>
    <row r="21" ht="18" customHeight="1">
      <c r="A21" s="5" t="inlineStr">
        <is>
          <t>Hassan Hazaa &lt;hassanhazaaa@gmail.com&gt;</t>
        </is>
      </c>
      <c r="B21" s="6" t="inlineStr">
        <is>
          <t>hassanhazaaa@gmail.com</t>
        </is>
      </c>
      <c r="C21" s="5">
        <f>?utf-8?B?2KfZhNiz2YTYp9mFINi52YTZitmD2YUg?=</f>
        <v/>
      </c>
      <c r="D21" s="5" t="inlineStr">
        <is>
          <t>Hello! How can we help you?  السلام عليكم يا احباب ، انا مشترك بخدمة البلوك على الرقم ووقت الاشتراك ما كان في مده معينه حق الخدمه ووصلني مسج اس ام اس يفيد بالانتهاء ، رقمي 55017017 يرجى معالجة الموضوع   وووشكرا   ‫أُرسلت من الـ iPhone‬</t>
        </is>
      </c>
      <c r="E21" s="7" t="inlineStr">
        <is>
          <t>55017017</t>
        </is>
      </c>
      <c r="F21" s="6" t="n">
        <v>4</v>
      </c>
    </row>
    <row r="22" ht="18" customHeight="1">
      <c r="A22" s="2" t="inlineStr">
        <is>
          <t>Ritaj Alessa &lt;ritaj0733@gmail.com&gt;</t>
        </is>
      </c>
      <c r="B22" s="3" t="inlineStr">
        <is>
          <t>ritaj0733@gmail.com</t>
        </is>
      </c>
      <c r="C22" s="2" t="inlineStr">
        <is>
          <t>Delete all data</t>
        </is>
      </c>
      <c r="D22" s="2" t="inlineStr">
        <is>
          <t xml:space="preserve">Hello  I ask that you delete all data related to my number from your system, including names and any associated information, and cancel any linking or display of the number when searching.  This is an official request to permanently delete my data and prevent it from being used or displayed in the future.  My number is: 99558090  Please confirm the deletion after implementation.  Thank you for your cooperation   </t>
        </is>
      </c>
      <c r="E22" s="4" t="inlineStr">
        <is>
          <t>99558090</t>
        </is>
      </c>
      <c r="F22" s="3" t="n">
        <v>4</v>
      </c>
    </row>
    <row r="23" ht="18" customHeight="1">
      <c r="A23" s="5" t="inlineStr">
        <is>
          <t>Hassan Hazaa &lt;hassanhazaaa@gmail.com&gt;</t>
        </is>
      </c>
      <c r="B23" s="6" t="inlineStr">
        <is>
          <t>hassanhazaaa@gmail.com</t>
        </is>
      </c>
      <c r="C23" s="5">
        <f>?utf-8?B?2KfZhNiz2YTYp9mFINi52YTZitmD2YUg?=</f>
        <v/>
      </c>
      <c r="D23" s="5" t="inlineStr">
        <is>
          <t>Hello! How can we help you?  السلام عليكم يا احباب ، انا مشترك بخدمة البلوك على الرقم ووقت الاشتراك ما كان في مده معينه حق الخدمه ووصلني مسج اس ام اس يفيد بالانتهاء ، رقمي 55017017 يرجى معالجة الموضوع   وووشكرا   ‫أُرسلت من الـ iPhone‬</t>
        </is>
      </c>
      <c r="E23" s="7" t="inlineStr">
        <is>
          <t>55017017</t>
        </is>
      </c>
      <c r="F23" s="6" t="n">
        <v>4</v>
      </c>
    </row>
    <row r="24" ht="18" customHeight="1">
      <c r="A24" s="2" t="inlineStr">
        <is>
          <t>Yousef Krm &lt;yousefkrm55@gmail.com&gt;</t>
        </is>
      </c>
      <c r="B24" s="3" t="inlineStr">
        <is>
          <t>yousefkrm55@gmail.com</t>
        </is>
      </c>
      <c r="C24" s="2">
        <f>?UTF-8?B?UmU6INiu2LXZiNi12YrZhyDYudmG2YjYp9mG2Yo=?=</f>
        <v/>
      </c>
      <c r="D24" s="2" t="inlineStr">
        <is>
          <t xml:space="preserve">Sent from Gmail Mobile   On Wed, 19 Mar 2025 at 6:35 PM Yousef Krm &lt;yousefkrm55@gmail.com&gt; wrote:  &gt; سلام عليكم ارجوكم فقط اريد حجب عنوان منزلي لا اريد حجب اسمي بالكامل في &gt; البرنامج ولكن يوجد عنواني الكامل بالشارع و المنزل اثناء كتابة رقمي يظهر &gt; عنوان بيتي ارجوكم فقط احجبو عنوان منزلي للخصوصيه. &gt; &gt; رقم التلفون 90050282 &gt; مكتوب عنوان النهضه &gt; &gt; كل الشكر والتقدير لكم، &gt; &gt; Sent from Gmail Mobile &gt; </t>
        </is>
      </c>
      <c r="E24" s="4" t="inlineStr">
        <is>
          <t>90050282</t>
        </is>
      </c>
      <c r="F24" s="3" t="n">
        <v>4</v>
      </c>
    </row>
    <row r="25" ht="18" customHeight="1">
      <c r="A25" s="5" t="inlineStr">
        <is>
          <t>Mariam Altabbaa &lt;eng.mariam.altabbaa@gmail.com&gt;</t>
        </is>
      </c>
      <c r="B25" s="6" t="inlineStr">
        <is>
          <t>eng.mariam.altabbaa@gmail.com</t>
        </is>
      </c>
      <c r="C25" s="5">
        <f>?UTF-8?B?UmU6INi32YTYqCDYrdiw2YEg2LHZgtmF?=</f>
        <v/>
      </c>
      <c r="D25" s="5" t="inlineStr">
        <is>
          <t xml:space="preserve">يرجى ازالة الاسم المسيء والرد !  On Tue, Oct 21, 2025, 8:09 PM Mariam Altabbaa &lt;eng.mariam.altabbaa@gmail.com&gt; wrote:  &gt; سبق وطلبت ازالة الرقم لانه هناك اسم مسيء وتم عمل اللازم ! اليوم يوصلني مسج &gt; بجدد اشتراك البلوك ! بأي حق ترجعون تحطون الاسماء المسيئه &gt; سووا ازاله دائمه حق الاسمين 60003870 &gt; &gt; &gt; &gt; </t>
        </is>
      </c>
      <c r="E25" s="7" t="inlineStr">
        <is>
          <t>60003870</t>
        </is>
      </c>
      <c r="F25" s="6" t="n">
        <v>4</v>
      </c>
    </row>
    <row r="26" ht="18" customHeight="1">
      <c r="A26" s="2">
        <f>?utf-8?B?2K/Yp9mI2K8g2KfZhNi52KzZhdmK?= &lt;davd.o@hotmail.com&gt;</f>
        <v/>
      </c>
      <c r="B26" s="3" t="inlineStr">
        <is>
          <t>davd.o@hotmail.com</t>
        </is>
      </c>
      <c r="C26" s="2" t="inlineStr"/>
      <c r="D26" s="2" t="inlineStr">
        <is>
          <t xml:space="preserve">Hello! How can we help you?  عندي اشتراك بلوك على رقم 55554072 جددته شهر 4/2025 والان واصلتني رسالة انتهى اشتراكك؟؟ انا مسوي عليه بلوك كالعاده كل سنه الان كمل 6 شهور فقط؟ الرجاء الافاده Sent from my iPhone </t>
        </is>
      </c>
      <c r="E26" s="4" t="inlineStr">
        <is>
          <t>55554072</t>
        </is>
      </c>
      <c r="F26" s="3" t="n">
        <v>4</v>
      </c>
    </row>
    <row r="27" ht="18" customHeight="1">
      <c r="A27" s="5">
        <f>?UTF-8?B?2YUg2KfZhNmB2LrZhQ==?= &lt;maramalf36@gmail.com&gt;</f>
        <v/>
      </c>
      <c r="B27" s="6" t="inlineStr">
        <is>
          <t>maramalf36@gmail.com</t>
        </is>
      </c>
      <c r="C27" s="5">
        <f>?UTF-8?B?2K3YsNmBINix2YLZhdmKINmF2YYg2YXZhtmIINiv2KfZgiBSZXF1ZXN0IHRvIFJlbW92ZQ==?= 	=?UTF-8?B?IE15IFBob25lIE51bWJlciBmcm9tIE1lbm9kYWc=?=</f>
        <v/>
      </c>
      <c r="D27" s="5" t="inlineStr">
        <is>
          <t xml:space="preserve">السلام عليكم، أرجو حذف رقم هاتفي نهائيًا من قاعدة بيانات تطبيق منو داق.  رقمي: ‎965 60370113    Hello,  I kindly request the permanent removal of my phone number from the Menodag database.  My number: 965 60370113    Thank you. </t>
        </is>
      </c>
      <c r="E27" s="7" t="inlineStr">
        <is>
          <t>60370113</t>
        </is>
      </c>
      <c r="F27" s="6" t="n">
        <v>4</v>
      </c>
    </row>
    <row r="28" ht="18" customHeight="1">
      <c r="A28" s="2" t="inlineStr">
        <is>
          <t>Rayan Alhamad &lt;rahalhamad2002@icloud.com&gt;</t>
        </is>
      </c>
      <c r="B28" s="3" t="inlineStr">
        <is>
          <t>rahalhamad2002@icloud.com</t>
        </is>
      </c>
      <c r="C28" s="2" t="inlineStr"/>
      <c r="D28" s="2" t="inlineStr">
        <is>
          <t>Hello! How can we help you?  Report : 99890862  Remove my number , 99890862  Sent from my iPhone</t>
        </is>
      </c>
      <c r="E28" s="4" t="inlineStr">
        <is>
          <t>99890862</t>
        </is>
      </c>
      <c r="F28" s="3" t="n">
        <v>4</v>
      </c>
    </row>
    <row r="29" ht="18" customHeight="1">
      <c r="A29" s="5" t="inlineStr">
        <is>
          <t>Hussain Alrajhy &lt;hussain.alrajhy@gmail.com&gt;</t>
        </is>
      </c>
      <c r="B29" s="6" t="inlineStr">
        <is>
          <t>hussain.alrajhy@gmail.com</t>
        </is>
      </c>
      <c r="C29" s="5">
        <f>?UTF-8?B?2YfYp9mFINis2K/Yp9mLINis2K/Yp9mL?=</f>
        <v/>
      </c>
      <c r="D29" s="5" t="inlineStr">
        <is>
          <t xml:space="preserve">استناداً على حقي القانوني بعدم افصاح عن بينات رقمي .. علماً بان لدي كياني قانوني لايسمح لي بالافصاح عن اي معلومه .. وافصاحكم عن اسمي ورقمي يسبب لي الأذى والازعاج ، فـ اتمنى من فضلكم وحضراتكم عدم ظهور بيانات رقمي ببرنامجكم .. حيث انه الاسباب تبرهن علاقتي الوظيفيه بعدم الافصاح مع كامل الشكر والتقدير والعرفان  الرقم : 94972258 </t>
        </is>
      </c>
      <c r="E29" s="7" t="inlineStr">
        <is>
          <t>94972258</t>
        </is>
      </c>
      <c r="F29" s="6" t="n">
        <v>4</v>
      </c>
    </row>
    <row r="30" ht="18" customHeight="1">
      <c r="A30" s="2" t="inlineStr">
        <is>
          <t>Mohammed Alajayan &lt;mo-l@hotmail.com&gt;</t>
        </is>
      </c>
      <c r="B30" s="3" t="inlineStr">
        <is>
          <t>mo-l@hotmail.com</t>
        </is>
      </c>
      <c r="C30" s="2">
        <f>?utf-8?B?2YXYs9itINin2YTYp9iz2YXYp9ih?=</f>
        <v/>
      </c>
      <c r="D30" s="2" t="inlineStr">
        <is>
          <t xml:space="preserve">﻿ يرجى مسح الأسماء عن الرقم  56598888 </t>
        </is>
      </c>
      <c r="E30" s="4" t="inlineStr">
        <is>
          <t>56598888</t>
        </is>
      </c>
      <c r="F30" s="3" t="n">
        <v>4</v>
      </c>
    </row>
    <row r="31" ht="18" customHeight="1">
      <c r="A31" s="5" t="inlineStr">
        <is>
          <t>M A &lt;m7md855@icloud.com&gt;</t>
        </is>
      </c>
      <c r="B31" s="6" t="inlineStr">
        <is>
          <t>m7md855@icloud.com</t>
        </is>
      </c>
      <c r="C31" s="5">
        <f>?utf-8?B?2KfYsdis2Ygg2KrZg9ix2YXYpyDYrdiw2YEg2KfZhNix2YLZhSA=?=  =?utf-8?B?2YjYp9mE2KfYs9mFIA==?=</f>
        <v/>
      </c>
      <c r="D31" s="5" t="inlineStr">
        <is>
          <t xml:space="preserve">Hello! How can we help you?    ارجو تكرما حذف الرقم والاسم     Report : 55558483  </t>
        </is>
      </c>
      <c r="E31" s="7" t="inlineStr">
        <is>
          <t>55558483</t>
        </is>
      </c>
      <c r="F31" s="6" t="n">
        <v>4</v>
      </c>
    </row>
    <row r="32" ht="18" customHeight="1">
      <c r="A32" s="2" t="inlineStr">
        <is>
          <t>Sara Alotaibi &lt;Alotaibi_sara@outlook.com&gt;</t>
        </is>
      </c>
      <c r="B32" s="3" t="inlineStr">
        <is>
          <t>Alotaibi_sara@outlook.com</t>
        </is>
      </c>
      <c r="C32" s="2" t="inlineStr">
        <is>
          <t>Re: I want to delete it please</t>
        </is>
      </c>
      <c r="D32" s="2" t="inlineStr">
        <is>
          <t>السلام عليكم قبل تواصلت معاكم بخصوص البلوك وقلتولي فعلي الخدمه وبنفعلها لج مدى الحياة وقبل فتره دازين لي مسج ان انتهى اشتراكي وكلمتكم وشلتوه والحين رديتوه ! مع العلم ان اكثر من مره يصير جذي وانتو قايلين مدى الحياة ممكن تشوفون الموضوع !؟ 66998202   On 11 Apr 2025, at 8:45 AM, Menodag Sales &lt;sales@menodag.com&gt; wrote:  ﻿ Sorry check now  On Fri, Mar 21, 2025 at 4:07 AM Sara Alotaibi &lt;Alotaibi_sara@outlook.com&lt;mailto:Alotaibi_sara@outlook.com&gt;&gt; wrote: السلام عليكم قبل تواصلت معاكم بخصوص البلوك وقلتولي فعلي الخدمه وبنفعلها لج مدى الحياة وقبل فتره دازين لي مسج ان انتهى اشتراكي وكلمتكم وشلتوه والحين رديتوه ! مع العلم ان اكثر من مره يصير جذي وانتو قايلين مدى الحياة ممكن تشوفون الموضوع !؟ 66998202 &lt;i ...</t>
        </is>
      </c>
      <c r="E32" s="4" t="inlineStr">
        <is>
          <t>66998202</t>
        </is>
      </c>
      <c r="F32" s="3" t="n">
        <v>4</v>
      </c>
    </row>
    <row r="33" ht="18" customHeight="1">
      <c r="A33" s="5" t="inlineStr">
        <is>
          <t>Mariam Altabbaa &lt;eng.mariam.altabbaa@gmail.com&gt;</t>
        </is>
      </c>
      <c r="B33" s="6" t="inlineStr">
        <is>
          <t>eng.mariam.altabbaa@gmail.com</t>
        </is>
      </c>
      <c r="C33" s="5">
        <f>?UTF-8?B?2LfZhNioINit2LDZgSDYsdmC2YU=?=</f>
        <v/>
      </c>
      <c r="D33" s="5" t="inlineStr">
        <is>
          <t xml:space="preserve">سبق وطلبت ازالة الرقم لانه هناك اسم مسيء وتم عمل اللازم ! اليوم يوصلني مسج بجدد اشتراك البلوك ! بأي حق ترجعون تحطون الاسماء المسيئه سووا ازاله دائمه حق الاسمين 60003870 </t>
        </is>
      </c>
      <c r="E33" s="7" t="inlineStr">
        <is>
          <t>60003870</t>
        </is>
      </c>
      <c r="F33" s="6" t="n">
        <v>4</v>
      </c>
    </row>
    <row r="34" ht="18" customHeight="1">
      <c r="A34" s="2" t="inlineStr">
        <is>
          <t>Shady Abo-Shady &lt;shdooy@gmail.com&gt;</t>
        </is>
      </c>
      <c r="B34" s="3" t="inlineStr">
        <is>
          <t>shdooy@gmail.com</t>
        </is>
      </c>
      <c r="C34" s="2" t="inlineStr">
        <is>
          <t>Re: My number</t>
        </is>
      </c>
      <c r="D34" s="2" t="inlineStr">
        <is>
          <t>Dears,  Hope this email finds you well This is my second time i find my numbers are up again 99890981 66633924 I have paid to remove them from the system and there was a previous email and it was removed and here we are again they are showing.  Kindly do the needful  Regards,    On Thu, Feb 20, 2025, 10:59 AM Menodag Sales &lt;sales@menodag.com&gt; wrote:  &gt; Done &gt; &gt; On Wed, Jan 8, 2025 at 11:51 AM Shady Abo-Shady &lt;shdooy@gmail.com&gt; wrote: &gt; &gt;&gt; Dears, &gt;&gt; &gt;&gt; Good day to you &gt;&gt; I have deleted my numbers from your application and I did pay using knet &gt;&gt; for my both numbers. &gt;&gt; 99890981 &gt;&gt; 66633924 &gt;&gt; &gt;&gt; That was 2 to 3 years ago and I can't find the knet screenshot for sure &gt;&gt; you have got some recor ...</t>
        </is>
      </c>
      <c r="E34" s="4" t="inlineStr">
        <is>
          <t>99890981, 66633924</t>
        </is>
      </c>
      <c r="F34" s="3" t="n">
        <v>4</v>
      </c>
    </row>
    <row r="35" ht="18" customHeight="1">
      <c r="A35" s="5" t="inlineStr">
        <is>
          <t>Shady Abo-Shady &lt;shdooy@gmail.com&gt;</t>
        </is>
      </c>
      <c r="B35" s="6" t="inlineStr">
        <is>
          <t>shdooy@gmail.com</t>
        </is>
      </c>
      <c r="C35" s="5" t="inlineStr">
        <is>
          <t>My phone numbers</t>
        </is>
      </c>
      <c r="D35" s="5" t="inlineStr">
        <is>
          <t xml:space="preserve">Dears,  Hope this email finds you well This is my second time i find my numbers are up again 99890981 66633924 I have paid to remove them from the system and there was a previous email and it was removed and here we are again they are showing.  Kindly do the needful  Regards, </t>
        </is>
      </c>
      <c r="E35" s="7" t="inlineStr">
        <is>
          <t>99890981, 66633924</t>
        </is>
      </c>
      <c r="F35" s="6" t="n">
        <v>4</v>
      </c>
    </row>
    <row r="36" ht="18" customHeight="1">
      <c r="A36" s="2" t="inlineStr">
        <is>
          <t>Maha Q8 &lt;mahawity@gmail.com&gt;</t>
        </is>
      </c>
      <c r="B36" s="3" t="inlineStr">
        <is>
          <t>mahawity@gmail.com</t>
        </is>
      </c>
      <c r="C36" s="2" t="inlineStr">
        <is>
          <t>Re: Its make me in danger and not privacy</t>
        </is>
      </c>
      <c r="D36" s="2" t="inlineStr">
        <is>
          <t xml:space="preserve">&gt; Hello ,  I wish you help me ! This is my number and somebody saving it by &gt; my address and that make me not save !  And no privacy any more &gt; Sooo please remove or delete my address ,, forever ! I wish that &gt;  My number 55400508  And I will put the pic of my address ! &gt; &gt; pleeeaaase &gt; &gt; </t>
        </is>
      </c>
      <c r="E36" s="4" t="inlineStr">
        <is>
          <t>55400508</t>
        </is>
      </c>
      <c r="F36" s="3" t="n">
        <v>4</v>
      </c>
    </row>
    <row r="37" ht="18" customHeight="1">
      <c r="A37" s="5" t="inlineStr">
        <is>
          <t>Maha Q8 &lt;mahawity@gmail.com&gt;</t>
        </is>
      </c>
      <c r="B37" s="6" t="inlineStr">
        <is>
          <t>mahawity@gmail.com</t>
        </is>
      </c>
      <c r="C37" s="5">
        <f>?UTF-8?B?UmU6INi52K/ZhSDYp9mE2KfZhdin2YYg2Ygg2KfYrtiq2LHYp9mCINmE2YTYrti12YjYtQ==?= 	=?UTF-8?B?2YrZhw==?=</f>
        <v/>
      </c>
      <c r="D37" s="5" t="inlineStr">
        <is>
          <t xml:space="preserve">السلام عليكم &gt; لقد تم حفظ رقمي 55400508 بصيغه تبين عنواني الدقيق و هذا ما يجعلني في وضع &gt; غير آمن ويعرضني للخطر ! وعدم الخصوصيه ! ارجو مسح عنواني فقط للأبد وليس &gt; الغاء الاشتراك لفتره محدوده وانما الغاء عنواني ومسحه &gt; سوف ارفق صوره من عنواني في البرنامج &gt; رقمي 00965 - 55400508 &gt; ارجو مساعدتي و شكرا جزيلا لكم ،،، &gt; </t>
        </is>
      </c>
      <c r="E37" s="7" t="inlineStr">
        <is>
          <t>55400508</t>
        </is>
      </c>
      <c r="F37" s="6" t="n">
        <v>4</v>
      </c>
    </row>
    <row r="38" ht="18" customHeight="1">
      <c r="A38" s="2" t="inlineStr">
        <is>
          <t>Koko B &lt;looya87@gmail.com&gt;</t>
        </is>
      </c>
      <c r="B38" s="3" t="inlineStr">
        <is>
          <t>looya87@gmail.com</t>
        </is>
      </c>
      <c r="C38" s="2">
        <f>?UTF-8?B?2LfZhNioINit2LDZgSDYsdmC2YU=?=</f>
        <v/>
      </c>
      <c r="D38" s="2" t="inlineStr">
        <is>
          <t xml:space="preserve">Dear All  Kindly delete the saved data of my number 66364062 Its showing some inappropriate names </t>
        </is>
      </c>
      <c r="E38" s="4" t="inlineStr">
        <is>
          <t>66364062</t>
        </is>
      </c>
      <c r="F38" s="3" t="n">
        <v>4</v>
      </c>
    </row>
    <row r="39" ht="18" customHeight="1">
      <c r="A39" s="5" t="inlineStr">
        <is>
          <t>Naseer Q8 &lt;naseerq8305@icloud.com&gt;</t>
        </is>
      </c>
      <c r="B39" s="6" t="inlineStr">
        <is>
          <t>naseerq8305@icloud.com</t>
        </is>
      </c>
      <c r="C39" s="5">
        <f>?utf-8?B?2YXYsdit2KjYpw==?=</f>
        <v/>
      </c>
      <c r="D39" s="5" t="inlineStr">
        <is>
          <t>مرحبا انا سويت خدمه البلوك لرقمي     وتم الخصم 6 دنانير ولحد الان ما صار عليه بلوك     94186668</t>
        </is>
      </c>
      <c r="E39" s="7" t="inlineStr">
        <is>
          <t>94186668</t>
        </is>
      </c>
      <c r="F39" s="6" t="n">
        <v>4</v>
      </c>
    </row>
    <row r="40" ht="18" customHeight="1">
      <c r="A40" s="2" t="inlineStr">
        <is>
          <t>Naseer Q8 &lt;naseerq8305@icloud.com&gt;</t>
        </is>
      </c>
      <c r="B40" s="3" t="inlineStr">
        <is>
          <t>naseerq8305@icloud.com</t>
        </is>
      </c>
      <c r="C40" s="2">
        <f>?utf-8?B?2YXYsdit2KjYpyA=?=</f>
        <v/>
      </c>
      <c r="D40" s="2" t="inlineStr">
        <is>
          <t>مرحبا  انا دفعت فلوس 6 دنانير وتم الخصم علشان خدمه بلوك الرقم    وللحين رقمي طالع ما سويتو له بلوك  94186668</t>
        </is>
      </c>
      <c r="E40" s="4" t="inlineStr">
        <is>
          <t>94186668</t>
        </is>
      </c>
      <c r="F40" s="3" t="n">
        <v>4</v>
      </c>
    </row>
    <row r="41" ht="18" customHeight="1">
      <c r="A41" s="5" t="inlineStr">
        <is>
          <t>Noor Alothimeen &lt;Dooy29@hotmail.com&gt;</t>
        </is>
      </c>
      <c r="B41" s="6" t="inlineStr">
        <is>
          <t>Dooy29@hotmail.com</t>
        </is>
      </c>
      <c r="C41" s="5">
        <f>?windows-1256?B?zdDdIMfT4+0g?=</f>
        <v/>
      </c>
      <c r="D41" s="5" t="inlineStr">
        <is>
          <t xml:space="preserve">������ �����  ��� ����� ����� �+96590908976 ����� ���� ���� ����� ������� �� ����� ������ ����� ���� ��ޔ ���� ����� �� ����� ����� �� ��� ������ �� ��������.  ���� ����� ����� ����� ����� ��� ���� ������ ��������.  �� ���� �����ɡ ���  </t>
        </is>
      </c>
      <c r="E41" s="7" t="inlineStr">
        <is>
          <t>90908976</t>
        </is>
      </c>
      <c r="F41" s="6" t="n">
        <v>4</v>
      </c>
    </row>
    <row r="42" ht="18" customHeight="1">
      <c r="A42" s="2" t="inlineStr">
        <is>
          <t>Farah Alqab &lt;f.nine3@yahoo.com&gt;</t>
        </is>
      </c>
      <c r="B42" s="3" t="inlineStr">
        <is>
          <t>f.nine3@yahoo.com</t>
        </is>
      </c>
      <c r="C42" s="2">
        <f>?utf-8?B?2LfZhNioINit2LDZgSDYsdmC2YU=?=</f>
        <v/>
      </c>
      <c r="D42" s="2" t="inlineStr">
        <is>
          <t xml:space="preserve">السلام عليكم رقمي 55580688 لا امانع ظهور اسمي لكن هناك امور اتمنى مسحها مثل عميل غرب عبدالله، هديه من سعد العبدالله، حطين. شكرا لكم  </t>
        </is>
      </c>
      <c r="E42" s="4" t="inlineStr">
        <is>
          <t>55580688</t>
        </is>
      </c>
      <c r="F42" s="3" t="n">
        <v>4</v>
      </c>
    </row>
    <row r="43" ht="18" customHeight="1">
      <c r="A43" s="5" t="inlineStr">
        <is>
          <t>Safa Alasad &lt;safa.alasad@gmail.com&gt;</t>
        </is>
      </c>
      <c r="B43" s="6" t="inlineStr">
        <is>
          <t>safa.alasad@gmail.com</t>
        </is>
      </c>
      <c r="C43" s="5">
        <f>?utf-8?B?2LfZhNioINit2LDZgSDYsdmC2YU=?=</f>
        <v/>
      </c>
      <c r="D43" s="5" t="inlineStr">
        <is>
          <t xml:space="preserve">السلام عليكم  انا تواصلت معاكم من قبل عشان حذف رقمي من موقعكم حيث ان اسمي الكااامل موجود مع عنواني الخاص ولا يوجد خصوصية ولقد اشتركت معكم في خدمة حجب الرقم كذا سنة الان ولكن لا اريد ان يكون رقمي موجود من ضمن الارقام للاسباب التي ذكرتها رقمي: 60044550 وشكرا جزيلا </t>
        </is>
      </c>
      <c r="E43" s="7" t="inlineStr">
        <is>
          <t>60044550</t>
        </is>
      </c>
      <c r="F43" s="6" t="n">
        <v>4</v>
      </c>
    </row>
    <row r="44" ht="18" customHeight="1">
      <c r="A44" s="2">
        <f>?utf-8?B?2YXZhti12YjYsSDYp9mE2YbYp9i12LE=?= &lt;mooo2222@icloud.com&gt;</f>
        <v/>
      </c>
      <c r="B44" s="3" t="inlineStr">
        <is>
          <t>mooo2222@icloud.com</t>
        </is>
      </c>
      <c r="C44" s="2">
        <f>?utf-8?B?2LfZhNioINit2LDZgSDYsdmC2YU=?=</f>
        <v/>
      </c>
      <c r="D44" s="2" t="inlineStr">
        <is>
          <t>52222779 ارجو حذف الاسماء للاساءه ‫أُرسلت من الـ iPhone‬</t>
        </is>
      </c>
      <c r="E44" s="4" t="inlineStr">
        <is>
          <t>52222779</t>
        </is>
      </c>
      <c r="F44" s="3" t="n">
        <v>4</v>
      </c>
    </row>
    <row r="45" ht="18" customHeight="1">
      <c r="A45" s="5" t="inlineStr">
        <is>
          <t>zooz Zooz &lt;zooz965w@gmail.com&gt;</t>
        </is>
      </c>
      <c r="B45" s="6" t="inlineStr">
        <is>
          <t>zooz965w@gmail.com</t>
        </is>
      </c>
      <c r="C45" s="5" t="inlineStr"/>
      <c r="D45" s="5" t="inlineStr">
        <is>
          <t xml:space="preserve">مسجلين اسم غير لائق على رقمي 90018815 </t>
        </is>
      </c>
      <c r="E45" s="7" t="inlineStr">
        <is>
          <t>90018815</t>
        </is>
      </c>
      <c r="F45" s="6" t="n">
        <v>4</v>
      </c>
    </row>
    <row r="46" ht="18" customHeight="1">
      <c r="A46" s="2" t="inlineStr">
        <is>
          <t>marya Alharpi &lt;maryaalharpi@gmail.com&gt;</t>
        </is>
      </c>
      <c r="B46" s="3" t="inlineStr">
        <is>
          <t>maryaalharpi@gmail.com</t>
        </is>
      </c>
      <c r="C46" s="2">
        <f>?UTF-8?B?UmU6INil2KjZhNin2Log2LnZhiDYpdiz2KfYodip?=</f>
        <v/>
      </c>
      <c r="D46" s="2" t="inlineStr">
        <is>
          <t xml:space="preserve">إبلاغ عن إساءة باسم )هبله ( على الرقم 99796036  في الأحد، 12 أكتوبر 2025، 6:38 م marya Alharpi &lt;maryaalharpi@gmail.com&gt; كتب:  &gt; إبلاغ عن إساءة بمسمى ) الهبله ( على الرقم 99796036 ارجو مسح اللقب وشكرا &gt; </t>
        </is>
      </c>
      <c r="E46" s="4" t="inlineStr">
        <is>
          <t>99796036</t>
        </is>
      </c>
      <c r="F46" s="3" t="n">
        <v>4</v>
      </c>
    </row>
    <row r="47" ht="18" customHeight="1">
      <c r="A47" s="5" t="inlineStr">
        <is>
          <t>Lulwa Alanezi &lt;lulwa_alanezi@icloud.com&gt;</t>
        </is>
      </c>
      <c r="B47" s="6" t="inlineStr">
        <is>
          <t>lulwa_alanezi@icloud.com</t>
        </is>
      </c>
      <c r="C47" s="5" t="inlineStr">
        <is>
          <t>Hello,   I would like to request the removal of my phone number from the Whoscall database.   My number is: +96555745745   Thank you.</t>
        </is>
      </c>
      <c r="D47" s="5" t="inlineStr">
        <is>
          <t>Hello! How can we help you?   Sent from my iPhone</t>
        </is>
      </c>
      <c r="E47" s="7" t="inlineStr">
        <is>
          <t>55745745</t>
        </is>
      </c>
      <c r="F47" s="6" t="n">
        <v>4</v>
      </c>
    </row>
    <row r="48" ht="18" customHeight="1">
      <c r="A48" s="2" t="inlineStr">
        <is>
          <t>zainab adel &lt;z.adelhjh@gmail.com&gt;</t>
        </is>
      </c>
      <c r="B48" s="3" t="inlineStr">
        <is>
          <t>z.adelhjh@gmail.com</t>
        </is>
      </c>
      <c r="C48" s="2">
        <f>?UTF-8?B?2LfZhNioINit2LDZgSDYp9iz2YXYp9ihINmF2LnZitmG2Ycg2LrZitixINmE2KfYptmC?= 	=?UTF-8?B?2YcgLSBSZXF1ZXN0IGltbWVkaWF0ZSByZW1vdmFsIG9mIG9mZmVuc2l2ZSBjb250ZW50Lg==?=</f>
        <v/>
      </c>
      <c r="D48" s="2" t="inlineStr">
        <is>
          <t xml:space="preserve">To whom it may concern.  I am a lawyer, and I’ve identified a name on your app that contains defamatory and insulting content toward me and the firm I am working at. I respectfully request that it be removed immediately to prevent any further reputational or legal concerns.  My number is: 00965 98776464.  The name I would like you to remove is: My lesbian.  And if you see another inappropriate name I would like you to remove it too please.  Please confirm once this has been resolved.  kind regards,  Zainab Adel </t>
        </is>
      </c>
      <c r="E48" s="4" t="inlineStr">
        <is>
          <t>98776464</t>
        </is>
      </c>
      <c r="F48" s="3" t="n">
        <v>4</v>
      </c>
    </row>
    <row r="49" ht="18" customHeight="1">
      <c r="A49" s="5" t="inlineStr">
        <is>
          <t>zainab adel &lt;z.adelhjh@gmail.com&gt;</t>
        </is>
      </c>
      <c r="B49" s="6" t="inlineStr">
        <is>
          <t>z.adelhjh@gmail.com</t>
        </is>
      </c>
      <c r="C49" s="5" t="inlineStr">
        <is>
          <t>Request immediate removal of offensive content.</t>
        </is>
      </c>
      <c r="D49" s="5" t="inlineStr">
        <is>
          <t xml:space="preserve">To whom it may concern.  I am a lawyer, and I’ve identified a name on your app that contains defamatory and insulting content toward me and the firm I am working at. I respectfully request that it be removed immediately to prevent any further reputational or legal concerns.  My number is: 00965 98776464.  The name I would like you to remove is: My lesbian.  And if you see another inappropriate name I would like you to remove it too please.  Please confirm once this has been resolved.  kind regards,  Zainab Adel </t>
        </is>
      </c>
      <c r="E49" s="7" t="inlineStr">
        <is>
          <t>98776464</t>
        </is>
      </c>
      <c r="F49" s="6" t="n">
        <v>4</v>
      </c>
    </row>
    <row r="50" ht="18" customHeight="1">
      <c r="A50" s="2" t="inlineStr">
        <is>
          <t>fahad q8 &lt;fhd1114@gmail.com&gt;</t>
        </is>
      </c>
      <c r="B50" s="3" t="inlineStr">
        <is>
          <t>fhd1114@gmail.com</t>
        </is>
      </c>
      <c r="C50" s="2">
        <f>?UTF-8?B?UmU6INmE2YXYp9iw2Kcg2KrZhSDYrdiw2YEg2KfYtNiq2LHYp9mD2Yog2J8=?=</f>
        <v/>
      </c>
      <c r="D50" s="2" t="inlineStr">
        <is>
          <t xml:space="preserve">تم تجديد الاشتراك شهر 4  وتم دفع رسوم الاشتراك لمدة سنه  يعني اشتراكي المفروض ينتهي شهر اربعه القادم  وصلني الان مسج بانتهاء الاشتراك   والفاتوره موجوده   ارجو حل هذه المشكله   وشكرا    في جمعة، 11 أبريل، 2025 في 8:39 ص، كتب Menodag sale   &lt;sales@menodag.com&gt;:  &gt; Done &gt; &gt; On Tue, Apr 1, 2025 at 12:44 AM &lt;fhd1114@gmail.com&gt; wrote: &gt; &gt;&gt; Hello! How can we help you? &gt;&gt; &gt;&gt; ‫ مرحبا عزيزي .. اول مره دفعت اشتراك حذف رقمي بعدها بثلاث شهور تم حذف &gt;&gt; اشتراكي بعدها رحت اشتركت مره ثانيه .. وحاليا تم حذف اشتراكي علما ان اشتراكي &gt;&gt; لمدة سنه .. مممن اعرف ليش حذفت الاشتراك  .. ارجو الرد وشكرا 💐 &gt;&gt; &gt;&gt; &gt;&gt; رقم الهاتف 55000997 &gt;&gt; &gt;&gt; المحامي فهد الجاسمي &gt;&gt; &gt; </t>
        </is>
      </c>
      <c r="E50" s="4" t="inlineStr">
        <is>
          <t>55000997</t>
        </is>
      </c>
      <c r="F50" s="3" t="n">
        <v>4</v>
      </c>
    </row>
    <row r="51" ht="18" customHeight="1">
      <c r="A51" s="5" t="inlineStr">
        <is>
          <t>aziz otb &lt;azizotb1989@gmail.com&gt;</t>
        </is>
      </c>
      <c r="B51" s="6" t="inlineStr">
        <is>
          <t>azizotb1989@gmail.com</t>
        </is>
      </c>
      <c r="C51" s="5">
        <f>?utf-8?B?2LfZhNioINiq2LnYr9mK2YQg2KjZitin2YbYp9iqIA==?=</f>
        <v/>
      </c>
      <c r="D51" s="5" t="inlineStr">
        <is>
          <t xml:space="preserve"> ‫أُرسلت من الـ iPhone السلام عليكم  انا عبدالعزيز العتيبي  صاحب الرقم 66886122  ارجو تصحيح معرفه الاسم عن طريق تطبيقكم  ومسح الاسم القديم اللي هو محمود الحلاق محمود لانوي صالون لانوي  محمود ابو ميدو  مع العلم اني اكثر من مره اجحب الرقم من خلال خدمتكم  لكن اريد تصحيح هذا الاسم في تطبيقكم لان هذا الخط امتلكه لاكثر من 11 سنه وشكرًا لكم    </t>
        </is>
      </c>
      <c r="E51" s="7" t="inlineStr">
        <is>
          <t>66886122</t>
        </is>
      </c>
      <c r="F51" s="6" t="n">
        <v>4</v>
      </c>
    </row>
    <row r="52" ht="18" customHeight="1">
      <c r="A52" s="2" t="inlineStr">
        <is>
          <t>&lt;shekoalx1980@gmail.com&gt;</t>
        </is>
      </c>
      <c r="B52" s="3" t="inlineStr">
        <is>
          <t>shekoalx1980@gmail.com</t>
        </is>
      </c>
      <c r="C52" s="2">
        <f>?UTF-8?B?2KjZhNmI2YMg2YTYsdmC2YU=?=</f>
        <v/>
      </c>
      <c r="D52" s="2" t="inlineStr">
        <is>
          <t xml:space="preserve">احتاج عمل بلوك لرقم 66686615 من تطبيق منو داق </t>
        </is>
      </c>
      <c r="E52" s="4" t="inlineStr">
        <is>
          <t>66686615</t>
        </is>
      </c>
      <c r="F52" s="3" t="n">
        <v>4</v>
      </c>
    </row>
    <row r="53" ht="18" customHeight="1">
      <c r="A53" s="5" t="inlineStr">
        <is>
          <t>zainab adel &lt;z.adelhjh@gmail.com&gt;</t>
        </is>
      </c>
      <c r="B53" s="6" t="inlineStr">
        <is>
          <t>z.adelhjh@gmail.com</t>
        </is>
      </c>
      <c r="C53" s="5" t="inlineStr">
        <is>
          <t>Request immediate removal of offensive content.</t>
        </is>
      </c>
      <c r="D53" s="5" t="inlineStr">
        <is>
          <t xml:space="preserve">To whom it may concern.  I am a lawyer, and I’ve identified a name on your app that contains defamatory and insulting content toward me and the firm I am working at. I respectfully request that it be removed immediately to prevent any further reputational or legal concerns.  My number is: 00965 98776464.  The name I would like you to remove is: My lesbian.  And if you see another inappropriate name I would like you to remove it too please.  Please confirm once this has been resolved.  kind regards,  Zainab Adel </t>
        </is>
      </c>
      <c r="E53" s="7" t="inlineStr">
        <is>
          <t>98776464</t>
        </is>
      </c>
      <c r="F53" s="6" t="n">
        <v>4</v>
      </c>
    </row>
    <row r="54" ht="18" customHeight="1">
      <c r="A54" s="2" t="inlineStr">
        <is>
          <t>Majed alotaibi &lt;alotaibim944@gmail.com&gt;</t>
        </is>
      </c>
      <c r="B54" s="3" t="inlineStr">
        <is>
          <t>alotaibim944@gmail.com</t>
        </is>
      </c>
      <c r="C54" s="2">
        <f>?utf-8?B?2KXZhNi62KfYoQ==?=</f>
        <v/>
      </c>
      <c r="D54" s="2" t="inlineStr">
        <is>
          <t>Hello! How can we help you?  اريد إلغاء حجب رقمي 67676788 ‫أُرسلت من الـ iPhone‬</t>
        </is>
      </c>
      <c r="E54" s="4" t="inlineStr">
        <is>
          <t>67676788</t>
        </is>
      </c>
      <c r="F54" s="3" t="n">
        <v>4</v>
      </c>
    </row>
    <row r="55" ht="18" customHeight="1">
      <c r="A55" s="5" t="inlineStr">
        <is>
          <t>marya Alharpi &lt;maryaalharpi@gmail.com&gt;</t>
        </is>
      </c>
      <c r="B55" s="6" t="inlineStr">
        <is>
          <t>maryaalharpi@gmail.com</t>
        </is>
      </c>
      <c r="C55" s="5">
        <f>?UTF-8?B?2KXYqNmE2KfYuiDYudmGINil2LPYp9ih2Kk=?=</f>
        <v/>
      </c>
      <c r="D55" s="5" t="inlineStr">
        <is>
          <t xml:space="preserve">إبلاغ عن إساءة بمسمى ) الهبله ( على الرقم 99796036 ارجو مسح اللقب وشكرا </t>
        </is>
      </c>
      <c r="E55" s="7" t="inlineStr">
        <is>
          <t>99796036</t>
        </is>
      </c>
      <c r="F55" s="6" t="n">
        <v>4</v>
      </c>
    </row>
    <row r="56" ht="18" customHeight="1">
      <c r="A56" s="2" t="inlineStr">
        <is>
          <t>Fouzan Alfouzan &lt;fouzan.alfouzan85@gmail.com&gt;</t>
        </is>
      </c>
      <c r="B56" s="3" t="inlineStr">
        <is>
          <t>fouzan.alfouzan85@gmail.com</t>
        </is>
      </c>
      <c r="C56" s="2" t="inlineStr">
        <is>
          <t>Add My Company</t>
        </is>
      </c>
      <c r="D56" s="2" t="inlineStr">
        <is>
          <t xml:space="preserve">You are one step away from taking your business to the next level!  Provide us with the following:  Manadatory Fields: Name Arabic. شركة إيطاليا للتجارة العامة و المقاولات Name English. Italia for general trading and contracting company. Website. Www.italiagypsum.com Phone. 22401128 Business sector. Manufacturing and suppling Gypsum board and ceiling tiles. Optional Fields: Location. Kuwait city , Sharq ,St Alshuhada,Kamco invest tower,floor 10 Email. reception@italiagypsum.com Notes.  Notes:  We will review the data provided including the mandatory fields. If all went alright! We will call you to authenticate you and your relation to the mentioned business. This may take up to a week. </t>
        </is>
      </c>
      <c r="E56" s="4" t="inlineStr">
        <is>
          <t>22401128</t>
        </is>
      </c>
      <c r="F56" s="3" t="n">
        <v>4</v>
      </c>
    </row>
    <row r="57" ht="18" customHeight="1">
      <c r="A57" s="5" t="inlineStr">
        <is>
          <t>Mohammad Alsediqi &lt;alsediqi93@gmail.com&gt;</t>
        </is>
      </c>
      <c r="B57" s="6" t="inlineStr">
        <is>
          <t>alsediqi93@gmail.com</t>
        </is>
      </c>
      <c r="C57" s="5">
        <f>?utf-8?B?2LfZhNioINit2LDZgSDYsdmC2YU=?=</f>
        <v/>
      </c>
      <c r="D57" s="5" t="inlineStr">
        <is>
          <t>الساده الكرام  تحية طيبة وبعد،،    أتواصل معكم مجددًا بخصوص الخطأ الوارد في بياناتي الشخصية، والذي لا يزال يظهر بشكل غير صحيح في سجلاتكم، رغم تواصلي معكم أكثر من مرة عبر البريد الإلكتروني بشأن هذا الموضوع.    لذا أرجو منكم تصحيح البيانات بشكل عاجل واعتماد المعلومات الصحيحة التالية:    الاسم الكامل: محمد أسامة الصديقي رقم الهاتف: ‎00965 66737326     كما أرجو تأكيدكم كتابيًا فور الانتهاء من التصحيح.  شاكر تعاونكم واهتمامكم بهذا الموضوع الذي طال انتظاره.    مع خالص التحية والتقدير،  محمد الصديقي     Sent from my iPhone</t>
        </is>
      </c>
      <c r="E57" s="7" t="inlineStr">
        <is>
          <t>66737326</t>
        </is>
      </c>
      <c r="F57" s="6" t="n">
        <v>4</v>
      </c>
    </row>
    <row r="58" ht="18" customHeight="1">
      <c r="A58" s="2" t="inlineStr">
        <is>
          <t>Sarah Almubarak &lt;sarrah.a.703@gmail.com&gt;</t>
        </is>
      </c>
      <c r="B58" s="3" t="inlineStr">
        <is>
          <t>sarrah.a.703@gmail.com</t>
        </is>
      </c>
      <c r="C58" s="2">
        <f>?utf-8?B?2KjZhNmI2YMg2LHZgtmF2Yog?=</f>
        <v/>
      </c>
      <c r="D58" s="2" t="inlineStr">
        <is>
          <t xml:space="preserve">السلام عليكم، أريد عمل بلوك دائم لرقمي من غير اشتراك كل سنة، و أريد حذف المعلومات الخاصة بي التي تم جمعها مع العلم أريد حذف بياناتي بشكل دائم ومن غير دفع اشتراك كل سنة.  وشكراً.  رقم الهاتف 99867425 </t>
        </is>
      </c>
      <c r="E58" s="4" t="inlineStr">
        <is>
          <t>99867425</t>
        </is>
      </c>
      <c r="F58" s="3" t="n">
        <v>4</v>
      </c>
    </row>
    <row r="59" ht="18" customHeight="1">
      <c r="A59" s="5" t="inlineStr">
        <is>
          <t>NAWAF ALMUTAIRI &lt;nawafalmutairi1@hotmail.com&gt;</t>
        </is>
      </c>
      <c r="B59" s="6" t="inlineStr">
        <is>
          <t>nawafalmutairi1@hotmail.com</t>
        </is>
      </c>
      <c r="C59" s="5">
        <f>?utf-8?B?2KfZhNiz2YTYp9mFINi52YTZitmD2YUg2YjYsdit2YXYqSDYp9mE2YTZhyA=?=  =?utf-8?B?2YjYqNix2YPYp9iq2Ycg?=</f>
        <v/>
      </c>
      <c r="D59" s="5" t="inlineStr">
        <is>
          <t xml:space="preserve">لقد عملت بلوك رقمي وقمت بالدفع مسبقاً ولايزال موجود في البحث  يرجى حجب الرقم  55544999 </t>
        </is>
      </c>
      <c r="E59" s="7" t="inlineStr">
        <is>
          <t>55544999</t>
        </is>
      </c>
      <c r="F59" s="6" t="n">
        <v>4</v>
      </c>
    </row>
    <row r="60" ht="18" customHeight="1">
      <c r="A60" s="2" t="inlineStr">
        <is>
          <t>Kommunicate Support &lt;support@kommunicate.io&gt;</t>
        </is>
      </c>
      <c r="B60" s="3" t="inlineStr">
        <is>
          <t>support@kommunicate.io</t>
        </is>
      </c>
      <c r="C60" s="2" t="inlineStr">
        <is>
          <t>Thank you for your payment</t>
        </is>
      </c>
      <c r="D60" s="2" t="inlineStr">
        <is>
          <t>********************************** YOUR SUBSCRIPTION HAS BEEN RENEWED ********************************** Hey there,  We've received your payment and hope you're enjoying our offering.   Payment date 09-Oct-2025 19:56:48 IST  Invoiced amount $100.00  Payment method card ending with 4189   Your Subscription  ID  Azq8VtSYuRuMd1rUc Grow Monthly V1 $100.00 for 5 units   Billing Address Musaed Alazmi Villa 18, Salwa Hawally, Hawally 1002 Kuwait +96597663668  Shipping Address Musaed Alazmi Villa 18, Salwa Hawally, Hawally 1002 Kuwait +96597663668  If you have questions about this renewal, your subscription, or would just like to chat, contact us at any time. We'd love to hear from you.    ----  Kom ...</t>
        </is>
      </c>
      <c r="E60" s="4" t="inlineStr">
        <is>
          <t>97663668</t>
        </is>
      </c>
      <c r="F60" s="3" t="n">
        <v>4</v>
      </c>
    </row>
    <row r="61" ht="18" customHeight="1">
      <c r="A61" s="5">
        <f>?utf-8?B?2YXYrdmF2K8g2KfZhNmF2KfYttmK?= &lt;madibls@hotmail.com&gt;</f>
        <v/>
      </c>
      <c r="B61" s="6" t="inlineStr">
        <is>
          <t>madibls@hotmail.com</t>
        </is>
      </c>
      <c r="C61" s="5">
        <f>?utf-8?B?UmU6INiq2YUg2K3YrNioINin2YTYsdmC2YUg2KfZhNmF2LfZhNmI2Kg=?=</f>
        <v/>
      </c>
      <c r="D61" s="5" t="inlineStr">
        <is>
          <t xml:space="preserve">لا لاتحجبه  حطه برقم سناب العقارية Mohammad  khaleel +96599717400  ‫في 08‏/10‏/2025 الساعة 9:21 م، كتب/كتبت ‏تطبيق منو داق ‏&lt;sales@menodag.com&gt;:‬  ﻿  </t>
        </is>
      </c>
      <c r="E61" s="7" t="inlineStr">
        <is>
          <t>99717400</t>
        </is>
      </c>
      <c r="F61" s="6" t="n">
        <v>4</v>
      </c>
    </row>
    <row r="62" ht="18" customHeight="1">
      <c r="A62" s="2" t="inlineStr">
        <is>
          <t>Microsoft Outlook 	&lt;MicrosoftExchange329e71ec88ae4615bbc36ab6ce41109e@NETORG19721190.onmicrosoft.com&gt;</t>
        </is>
      </c>
      <c r="B62" s="3" t="inlineStr">
        <is>
          <t>MicrosoftExchange329e71ec88ae4615bbc36ab6ce41109e@NETORG19721190.onmicrosoft.com</t>
        </is>
      </c>
      <c r="C62" s="2">
        <f>?iso-8859-6?B?VW5kZWxpdmVyYWJsZTogyuUgzczIIMfk0eLlIMfk5dfk6Mg=?=</f>
        <v/>
      </c>
      <c r="D62" s="2" t="inlineStr">
        <is>
          <t>p00-iscream-smtp-5dc496cffb-qpstn rejected your message to the following email addresses:  asaalsubaie@icloud.com&lt;mailto:asaalsubaie@icloud.com&gt; The recipient's mailbox is full and can't accept messages now. Please try resending your message later, or contact the recipient directly.   p00-iscream-smtp-5dc496cffb-qpstn gave this error: &lt;asaalsubaie@icloud.com&gt;: user is over quota  s3odalmutairi99@icloud.com&lt;mailto:s3odalmutairi99@icloud.com&gt; The recipient's mailbox is full and can't accept messages now. Please try resending your message later, or contact the recipient directly.   p00-iscream-smtp-5dc496cffb-qpstn gave this error: &lt;s3odalmutairi99@icloud.com&gt;: user is over quota  soldar81@iclo ...</t>
        </is>
      </c>
      <c r="E62" s="4" t="inlineStr">
        <is>
          <t>13230040</t>
        </is>
      </c>
      <c r="F62" s="3" t="n">
        <v>4</v>
      </c>
    </row>
    <row r="63" ht="18" customHeight="1">
      <c r="A63" s="5" t="inlineStr">
        <is>
          <t>&lt;postmaster@microsoft.com&gt;</t>
        </is>
      </c>
      <c r="B63" s="6" t="inlineStr">
        <is>
          <t>postmaster@microsoft.com</t>
        </is>
      </c>
      <c r="C63" s="5">
        <f>?iso-8859-6?B?VW5kZWxpdmVyYWJsZTogyuUgzczIIMfk0eLlIMfk5dfk6Mg=?=</f>
        <v/>
      </c>
      <c r="D63" s="5" t="inlineStr">
        <is>
          <t>[https://products.office.com/en-us/CMSImages/Office365Logo_Orange.png?version=b8d100a9-0a8b-8e6a-88e1-ef488fee0470] Your message to MSSecurity-noreply@microsoft.com couldn't be delivered. The group MSSecurity-noreply only accepts messages from people in its organization or on its allowed senders list, and your email address isn't on the list. sales   Office 365      MSSecurity-noreply Sender          Action Required Sender not allowed  How to Fix It It appears you aren't in the same organization as the group (or a sub-group) you're sending to or your email address isn't on the group's allowed senders list. Ask the owner of the group to grant you permission to send to it, and then try again.  ...</t>
        </is>
      </c>
      <c r="E63" s="7" t="inlineStr">
        <is>
          <t>13230040</t>
        </is>
      </c>
      <c r="F63" s="6" t="n">
        <v>4</v>
      </c>
    </row>
    <row r="64" ht="18" customHeight="1">
      <c r="A64" s="2" t="inlineStr">
        <is>
          <t>brooo 79 &lt;broo_79@hotmail.com&gt;</t>
        </is>
      </c>
      <c r="B64" s="3" t="inlineStr">
        <is>
          <t>broo_79@hotmail.com</t>
        </is>
      </c>
      <c r="C64" s="2">
        <f>?utf-8?B?2LfZhNioINit2LDZgSDYsdmC2YU=?=</f>
        <v/>
      </c>
      <c r="D64" s="2" t="inlineStr">
        <is>
          <t xml:space="preserve">تواصلت كثيرا بدون حل للرقم 50348763 ودفعت من قبل الان ارغب في حذف بعض الاسماء الغير لائقة متي تردون ؟؟؟؟؟؟؟ ولكم جزيل الشكر ،،، 🌹🌹 </t>
        </is>
      </c>
      <c r="E64" s="4" t="inlineStr">
        <is>
          <t>50348763</t>
        </is>
      </c>
      <c r="F64" s="3" t="n">
        <v>4</v>
      </c>
    </row>
    <row r="65" ht="18" customHeight="1">
      <c r="A65" s="5">
        <f>?UTF-8?B?2LPYudmI2K8g2KfZhNiz2YjZiti3?= &lt;alswytswd21@gmail.com&gt;</f>
        <v/>
      </c>
      <c r="B65" s="6" t="inlineStr">
        <is>
          <t>alswytswd21@gmail.com</t>
        </is>
      </c>
      <c r="C65" s="5" t="inlineStr"/>
      <c r="D65" s="5" t="inlineStr">
        <is>
          <t xml:space="preserve">مرحبا وصلت رسالة بانتهاء اشتراك حجب الرقم مع اني مشترك في شهر  2025/4 على الرقم 55110551 الرجاء المراجعة </t>
        </is>
      </c>
      <c r="E65" s="7" t="inlineStr">
        <is>
          <t>55110551</t>
        </is>
      </c>
      <c r="F65" s="6" t="n">
        <v>4</v>
      </c>
    </row>
    <row r="66" ht="18" customHeight="1">
      <c r="A66" s="2" t="inlineStr">
        <is>
          <t>asaalsubaie@icloud.com</t>
        </is>
      </c>
      <c r="B66" s="3" t="inlineStr">
        <is>
          <t>asaalsubaie@icloud.com</t>
        </is>
      </c>
      <c r="C66" s="2">
        <f>?utf-8?B?2LfZhNioINit2LDZgSDYsdmC2YU=?=</f>
        <v/>
      </c>
      <c r="D66" s="2" t="inlineStr">
        <is>
          <t xml:space="preserve">الرجاء حذف الاسماء من أرقامي التالية  65006668 90089332  </t>
        </is>
      </c>
      <c r="E66" s="4" t="inlineStr">
        <is>
          <t>65006668, 90089332</t>
        </is>
      </c>
      <c r="F66" s="3" t="n">
        <v>4</v>
      </c>
    </row>
    <row r="67" ht="18" customHeight="1">
      <c r="A67" s="5" t="inlineStr">
        <is>
          <t>Meshari Alajeel &lt;m.alajeel_99@hotmail.com&gt;</t>
        </is>
      </c>
      <c r="B67" s="6" t="inlineStr">
        <is>
          <t>m.alajeel_99@hotmail.com</t>
        </is>
      </c>
      <c r="C67" s="5" t="inlineStr">
        <is>
          <t>B lock Service</t>
        </is>
      </c>
      <c r="D67" s="5" t="inlineStr">
        <is>
          <t xml:space="preserve">السلام عليكم،  انا رقمي 66498747 و سويت خاصيه البلوك شهر 3 و دفعت، كل سنه ادفع مرة من سنين.  اليوم وصلني مسج ادفع مره ثانيه، مع العلم اني دافع في تاريخ 20/3/2025  الرجاء الافادة شكرا. </t>
        </is>
      </c>
      <c r="E67" s="7" t="inlineStr">
        <is>
          <t>66498747</t>
        </is>
      </c>
      <c r="F67" s="6" t="n">
        <v>4</v>
      </c>
    </row>
    <row r="68" ht="18" customHeight="1">
      <c r="A68" s="2" t="inlineStr">
        <is>
          <t>Bander Aldfyary &lt;bander84@icloud.com&gt;</t>
        </is>
      </c>
      <c r="B68" s="3" t="inlineStr">
        <is>
          <t>bander84@icloud.com</t>
        </is>
      </c>
      <c r="C68" s="2">
        <f>?utf-8?B?2KfZhNin2LPZhSDYp9mE2Yog2YXYrtiy2YYg2YHZitmHINin2LM=?=  =?utf-8?B?2YXZiiDZhdiz2Yog2YTZig==?=</f>
        <v/>
      </c>
      <c r="D68" s="2" t="inlineStr">
        <is>
          <t>Hello! How can we help you?  Report متطفلين حسب بلاغات من بلدك KW :   ‫أُرسلت من الـ iPhone‬ الاسم المخزن يسبب لي مشاكل واحراج يرجى التكرم مسح الرقم من البرنامج 97555628</t>
        </is>
      </c>
      <c r="E68" s="4" t="inlineStr">
        <is>
          <t>97555628</t>
        </is>
      </c>
      <c r="F68" s="3" t="n">
        <v>4</v>
      </c>
    </row>
    <row r="69" ht="18" customHeight="1">
      <c r="A69" s="5" t="inlineStr">
        <is>
          <t>Bander Aldfyary &lt;bander84@icloud.com&gt;</t>
        </is>
      </c>
      <c r="B69" s="6" t="inlineStr">
        <is>
          <t>bander84@icloud.com</t>
        </is>
      </c>
      <c r="C69" s="5">
        <f>?utf-8?Q?Re:_=D9=85=D8=B3=D8=AD_=D8=A7=D8=B3=D9=85_=D9=85=D8=B3?=  =?utf-8?Q?=D9=8A_=D9=84=D9=8A_?=</f>
        <v/>
      </c>
      <c r="D69" s="5" t="inlineStr">
        <is>
          <t xml:space="preserve"> ‫أُرسلت من الـ iPhone‬  &gt; ‫في 30‏/09‏/2025 الساعة 12:30 م، كتب/كتبت ‏Bander Aldfyary ‏&lt;bander84@icloud.com&gt;:‬ &gt;  &gt; ﻿ &gt; Hello! How can we help you? &gt;  &gt; Report متطفلين حسب بلاغات من بلدك KW : &gt;  &gt;  &gt; ‫أُرسلت من الـ iPhone‬ &gt; في اسم لي مخزن مسيل لي 97555628 اورال 23  &gt; أرجو التكرم مسح الاسم وشكراً  </t>
        </is>
      </c>
      <c r="E69" s="7" t="inlineStr">
        <is>
          <t>97555628</t>
        </is>
      </c>
      <c r="F69" s="6" t="n">
        <v>4</v>
      </c>
    </row>
    <row r="70" ht="18" customHeight="1">
      <c r="A70" s="2" t="inlineStr">
        <is>
          <t>Bader Alfadly &lt;baderalfadly33@gmail.com&gt;</t>
        </is>
      </c>
      <c r="B70" s="3" t="inlineStr">
        <is>
          <t>baderalfadly33@gmail.com</t>
        </is>
      </c>
      <c r="C70" s="2">
        <f>?utf-8?B?2KjZitin2YbYp9iq2Yog2YHZiiAoINmF2YbZiCDYr9in2YIgKSA=?=</f>
        <v/>
      </c>
      <c r="D70" s="2" t="inlineStr">
        <is>
          <t xml:space="preserve">اخي السلام عليكم، لقد قمتم في السابق بحذف جميع بياناتي في برنامجكم ( منو داق ) لوجود اسماء لاتليق بي ، ولاحظت بأن تم ارجاع البيانات السابقه اللتي تم حذفها من قبل سيادتكم  ،  هل تريدون المزيد من الاموال ؟ او هل تقومون بالنصب على زبائنكم ؟   يرجى حذف جميع بياناتي نهائيا ، وليس سنه ومن ثم تطلبون الاموال ، وشكرا… 99960989 </t>
        </is>
      </c>
      <c r="E70" s="4" t="inlineStr">
        <is>
          <t>99960989</t>
        </is>
      </c>
      <c r="F70" s="3" t="n">
        <v>4</v>
      </c>
    </row>
    <row r="71" ht="18" customHeight="1">
      <c r="A71" s="5" t="inlineStr">
        <is>
          <t>Nawaf Gmail &lt;nar1975@gmail.com&gt;</t>
        </is>
      </c>
      <c r="B71" s="6" t="inlineStr">
        <is>
          <t>nar1975@gmail.com</t>
        </is>
      </c>
      <c r="C71" s="5" t="inlineStr"/>
      <c r="D71" s="5" t="inlineStr">
        <is>
          <t xml:space="preserve">Hello! How can we help you?  Why nobody answer my emails ?? I paid for block my number but still no deleted !! 65555556   Regards,  nawaf Alrefae   </t>
        </is>
      </c>
      <c r="E71" s="7" t="inlineStr">
        <is>
          <t>65555556</t>
        </is>
      </c>
      <c r="F71" s="6" t="n">
        <v>4</v>
      </c>
    </row>
    <row r="72" ht="18" customHeight="1">
      <c r="A72" s="2">
        <f>?utf-8?B?SWJyYWhpbSBNb2hhbWVkIC0g2KfYqNix2KfZh9mK2YUg2YXYrdmF2K8=?= 	&lt;ibrahim.mohammad1234@ku.edu.kw&gt;</f>
        <v/>
      </c>
      <c r="B72" s="3" t="inlineStr">
        <is>
          <t>ibrahim.mohammad1234@ku.edu.kw</t>
        </is>
      </c>
      <c r="C72" s="2">
        <f>?utf-8?B?2KjYsdis2KfYoSDYp9mE2KrZiNin2LXZhCA=?=</f>
        <v/>
      </c>
      <c r="D72" s="2" t="inlineStr">
        <is>
          <t xml:space="preserve">Hello! How can we help you?  ما الحل ؟ دفعت فلوس وطلبت حذف بعض الاسماء علي الرقم 50348763 ولكم جزيل الشكر ،،، 🌹🌹 </t>
        </is>
      </c>
      <c r="E72" s="4" t="inlineStr">
        <is>
          <t>50348763</t>
        </is>
      </c>
      <c r="F72" s="3" t="n">
        <v>4</v>
      </c>
    </row>
    <row r="73" ht="18" customHeight="1">
      <c r="A73" s="5" t="inlineStr">
        <is>
          <t>Ahmad Abdulraheem &lt;ahmad.abdulraheem37@gmail.com&gt;</t>
        </is>
      </c>
      <c r="B73" s="6" t="inlineStr">
        <is>
          <t>ahmad.abdulraheem37@gmail.com</t>
        </is>
      </c>
      <c r="C73" s="5">
        <f>?utf-8?B?2LfZhNioINit2LDZgSDYsdmC2YU=?=</f>
        <v/>
      </c>
      <c r="D73" s="5" t="inlineStr">
        <is>
          <t>السلام عليكم. أنا دافع  عشان ما يطلع رقمي. 67604414  هذا رقمي و توا قعدت أشوف ولا رد. يعطيكم العافية.  Sent from my iPhone</t>
        </is>
      </c>
      <c r="E73" s="7" t="inlineStr">
        <is>
          <t>67604414</t>
        </is>
      </c>
      <c r="F73" s="6" t="n">
        <v>4</v>
      </c>
    </row>
    <row r="74" ht="18" customHeight="1">
      <c r="A74" s="2" t="inlineStr">
        <is>
          <t>"LADDER 49 ." &lt;ladder_49_@hotmail.com&gt;</t>
        </is>
      </c>
      <c r="B74" s="3" t="inlineStr">
        <is>
          <t>ladder_49_@hotmail.com</t>
        </is>
      </c>
      <c r="C74" s="2">
        <f>?utf-8?B?2K7Yr9mF2Kkg2KfZhNio2YTZiNmDIA==?=</f>
        <v/>
      </c>
      <c r="D74" s="2" t="inlineStr">
        <is>
          <t xml:space="preserve">Hello! How can we help you?  السلام عليكم اخوي أنا سويت خدمة البلوك بس بعد 6 اشهر رد طلب مني مره ثانيه اني اجدد والاشتراك المفروض سنه ممكن تساعدني في هذا الموضوع هذا الرقم 97996466 Sent from my iPhone </t>
        </is>
      </c>
      <c r="E74" s="4" t="inlineStr">
        <is>
          <t>97996466</t>
        </is>
      </c>
      <c r="F74" s="3"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2026-04-23T17:01:14Z</dcterms:created>
  <dcterms:modified xsi:type="dcterms:W3CDTF">2026-04-23T17:01:14Z</dcterms:modified>
</cp:coreProperties>
</file>